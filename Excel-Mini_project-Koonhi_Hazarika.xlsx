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tables/table4.xml" ContentType="application/vnd.openxmlformats-officedocument.spreadsheetml.table+xml"/>
  <Override PartName="/xl/queryTables/queryTable2.xml" ContentType="application/vnd.openxmlformats-officedocument.spreadsheetml.query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Khazarik\Desktop\data\Excel Projects\"/>
    </mc:Choice>
  </mc:AlternateContent>
  <xr:revisionPtr revIDLastSave="0" documentId="13_ncr:1_{8442B792-C19C-404D-9E15-E0C5F86A1464}" xr6:coauthVersionLast="47" xr6:coauthVersionMax="47" xr10:uidLastSave="{00000000-0000-0000-0000-000000000000}"/>
  <bookViews>
    <workbookView xWindow="-108" yWindow="-108" windowWidth="23256" windowHeight="12576" firstSheet="2" activeTab="8" xr2:uid="{EB3F0035-5A3F-4B9D-809A-8E123DD06591}"/>
  </bookViews>
  <sheets>
    <sheet name="AmazonSales" sheetId="3" r:id="rId1"/>
    <sheet name="ProductMaster" sheetId="4" r:id="rId2"/>
    <sheet name="RegionGoals" sheetId="5" r:id="rId3"/>
    <sheet name="CustomerMaster" sheetId="8" r:id="rId4"/>
    <sheet name="Task1" sheetId="1" r:id="rId5"/>
    <sheet name="Task2" sheetId="2" r:id="rId6"/>
    <sheet name="Task3" sheetId="7" r:id="rId7"/>
    <sheet name="Task4" sheetId="9" r:id="rId8"/>
    <sheet name="Dashboard" sheetId="18" r:id="rId9"/>
    <sheet name="Brainstorm" sheetId="23" r:id="rId10"/>
  </sheets>
  <externalReferences>
    <externalReference r:id="rId11"/>
    <externalReference r:id="rId12"/>
    <externalReference r:id="rId13"/>
    <externalReference r:id="rId14"/>
  </externalReferences>
  <definedNames>
    <definedName name="_3t21pjvpxv31" localSheetId="5">Task2!$A$6</definedName>
    <definedName name="Days">[1]DataValidation!$V$2:$V$20</definedName>
    <definedName name="Dy">OFFSET([1]Offset!$A$1,0,0,COUNTA([1]Offset!$A:$A),COUNTA([1]Offset!$1:$1))</definedName>
    <definedName name="DynamicRange">OFFSET([1]Offset!$A$1,0,0,COUNTA([1]Offset!$A:$A),COUNTA([1]Offset!$1:$1))</definedName>
    <definedName name="DynamicTable">OFFSET([2]PivotTable1.2!$A$1,0,0,COUNTA([2]PivotTable1.2!$A:$A),COUNTA([2]PivotTable1.2!$1:$1))</definedName>
    <definedName name="ExternalData_1" localSheetId="4" hidden="1">Task1!$B$1:$P$101</definedName>
    <definedName name="ExternalData_1" localSheetId="6" hidden="1">Task3!$A$1:$N$101</definedName>
    <definedName name="HR_Header">#REF!</definedName>
    <definedName name="MonthlyIncome">[3]NamedRange!$O$3:$O$1472</definedName>
    <definedName name="MonthlyRate">[3]NamedRange!$P$3:$P$1472</definedName>
    <definedName name="NativeTimeline_Order_Date">#N/A</definedName>
    <definedName name="OrdId">[4]VLookUp!$A$1:$A$4577</definedName>
    <definedName name="Quantity">[4]MathsFunctions!$D$3:$D$22</definedName>
    <definedName name="Slicer_Delivery_Status">#N/A</definedName>
    <definedName name="Slicer_Payment_Method">#N/A</definedName>
    <definedName name="Slicer_Region">#N/A</definedName>
  </definedNames>
  <calcPr calcId="191029"/>
  <pivotCaches>
    <pivotCache cacheId="1" r:id="rId15"/>
    <pivotCache cacheId="2" r:id="rId16"/>
  </pivotCaches>
  <extLs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41" i="18" l="1"/>
  <c r="N56" i="18"/>
  <c r="N53" i="18"/>
  <c r="N35" i="18"/>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I2" i="1"/>
  <c r="I3" i="1"/>
  <c r="I4" i="1"/>
  <c r="I5" i="1"/>
  <c r="I6" i="1"/>
  <c r="I7" i="1"/>
  <c r="I8" i="1"/>
  <c r="I9" i="1"/>
  <c r="I10" i="1"/>
  <c r="I11" i="1"/>
  <c r="I12" i="1"/>
  <c r="N50" i="18" s="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Q2" i="1"/>
  <c r="S2" i="1" s="1"/>
  <c r="Q3" i="1"/>
  <c r="S3" i="1" s="1"/>
  <c r="Q4" i="1"/>
  <c r="S4" i="1" s="1"/>
  <c r="Q5" i="1"/>
  <c r="S5" i="1" s="1"/>
  <c r="Q6" i="1"/>
  <c r="S6" i="1" s="1"/>
  <c r="Q7" i="1"/>
  <c r="S7" i="1" s="1"/>
  <c r="Q8" i="1"/>
  <c r="S8" i="1" s="1"/>
  <c r="Q9" i="1"/>
  <c r="S9" i="1" s="1"/>
  <c r="Q10" i="1"/>
  <c r="S10" i="1" s="1"/>
  <c r="Q11" i="1"/>
  <c r="S11" i="1" s="1"/>
  <c r="Q12" i="1"/>
  <c r="S12" i="1" s="1"/>
  <c r="Q13" i="1"/>
  <c r="S13" i="1" s="1"/>
  <c r="Q14" i="1"/>
  <c r="S14" i="1" s="1"/>
  <c r="Q15" i="1"/>
  <c r="S15" i="1" s="1"/>
  <c r="Q16" i="1"/>
  <c r="S16" i="1" s="1"/>
  <c r="Q17" i="1"/>
  <c r="S17" i="1" s="1"/>
  <c r="Q18" i="1"/>
  <c r="S18" i="1" s="1"/>
  <c r="Q19" i="1"/>
  <c r="S19" i="1" s="1"/>
  <c r="Q20" i="1"/>
  <c r="S20" i="1" s="1"/>
  <c r="Q21" i="1"/>
  <c r="S21" i="1" s="1"/>
  <c r="Q22" i="1"/>
  <c r="S22" i="1" s="1"/>
  <c r="Q23" i="1"/>
  <c r="S23" i="1" s="1"/>
  <c r="Q24" i="1"/>
  <c r="S24" i="1" s="1"/>
  <c r="Q25" i="1"/>
  <c r="S25" i="1" s="1"/>
  <c r="Q26" i="1"/>
  <c r="S26" i="1" s="1"/>
  <c r="Q27" i="1"/>
  <c r="S27" i="1" s="1"/>
  <c r="Q28" i="1"/>
  <c r="S28" i="1" s="1"/>
  <c r="Q29" i="1"/>
  <c r="S29" i="1" s="1"/>
  <c r="Q30" i="1"/>
  <c r="S30" i="1" s="1"/>
  <c r="Q31" i="1"/>
  <c r="S31" i="1" s="1"/>
  <c r="Q32" i="1"/>
  <c r="S32" i="1" s="1"/>
  <c r="Q33" i="1"/>
  <c r="S33" i="1" s="1"/>
  <c r="Q34" i="1"/>
  <c r="S34" i="1" s="1"/>
  <c r="Q35" i="1"/>
  <c r="S35" i="1" s="1"/>
  <c r="Q36" i="1"/>
  <c r="S36" i="1" s="1"/>
  <c r="Q37" i="1"/>
  <c r="S37" i="1" s="1"/>
  <c r="Q38" i="1"/>
  <c r="S38" i="1" s="1"/>
  <c r="Q39" i="1"/>
  <c r="S39" i="1" s="1"/>
  <c r="Q40" i="1"/>
  <c r="S40" i="1" s="1"/>
  <c r="Q41" i="1"/>
  <c r="S41" i="1" s="1"/>
  <c r="Q42" i="1"/>
  <c r="S42" i="1" s="1"/>
  <c r="Q43" i="1"/>
  <c r="S43" i="1" s="1"/>
  <c r="Q44" i="1"/>
  <c r="S44" i="1" s="1"/>
  <c r="Q45" i="1"/>
  <c r="S45" i="1" s="1"/>
  <c r="Q46" i="1"/>
  <c r="S46" i="1" s="1"/>
  <c r="Q47" i="1"/>
  <c r="S47" i="1" s="1"/>
  <c r="Q48" i="1"/>
  <c r="S48" i="1" s="1"/>
  <c r="Q49" i="1"/>
  <c r="S49" i="1" s="1"/>
  <c r="Q50" i="1"/>
  <c r="S50" i="1" s="1"/>
  <c r="Q51" i="1"/>
  <c r="S51" i="1" s="1"/>
  <c r="Q52" i="1"/>
  <c r="S52" i="1" s="1"/>
  <c r="Q53" i="1"/>
  <c r="S53" i="1" s="1"/>
  <c r="Q54" i="1"/>
  <c r="S54" i="1" s="1"/>
  <c r="Q55" i="1"/>
  <c r="S55" i="1" s="1"/>
  <c r="Q56" i="1"/>
  <c r="S56" i="1" s="1"/>
  <c r="Q57" i="1"/>
  <c r="S57" i="1" s="1"/>
  <c r="Q58" i="1"/>
  <c r="S58" i="1" s="1"/>
  <c r="Q59" i="1"/>
  <c r="S59" i="1" s="1"/>
  <c r="Q60" i="1"/>
  <c r="S60" i="1" s="1"/>
  <c r="Q61" i="1"/>
  <c r="S61" i="1" s="1"/>
  <c r="Q62" i="1"/>
  <c r="S62" i="1" s="1"/>
  <c r="Q63" i="1"/>
  <c r="S63" i="1" s="1"/>
  <c r="Q64" i="1"/>
  <c r="S64" i="1" s="1"/>
  <c r="Q65" i="1"/>
  <c r="S65" i="1" s="1"/>
  <c r="Q66" i="1"/>
  <c r="S66" i="1" s="1"/>
  <c r="Q67" i="1"/>
  <c r="S67" i="1" s="1"/>
  <c r="Q68" i="1"/>
  <c r="S68" i="1" s="1"/>
  <c r="Q69" i="1"/>
  <c r="S69" i="1" s="1"/>
  <c r="Q70" i="1"/>
  <c r="Q71" i="1"/>
  <c r="S71" i="1" s="1"/>
  <c r="Q72" i="1"/>
  <c r="S72" i="1" s="1"/>
  <c r="Q73" i="1"/>
  <c r="S73" i="1" s="1"/>
  <c r="Q74" i="1"/>
  <c r="S74" i="1" s="1"/>
  <c r="Q75" i="1"/>
  <c r="S75" i="1" s="1"/>
  <c r="Q76" i="1"/>
  <c r="S76" i="1" s="1"/>
  <c r="Q77" i="1"/>
  <c r="S77" i="1" s="1"/>
  <c r="Q78" i="1"/>
  <c r="S78" i="1" s="1"/>
  <c r="Q79" i="1"/>
  <c r="S79" i="1" s="1"/>
  <c r="Q80" i="1"/>
  <c r="S80" i="1" s="1"/>
  <c r="Q81" i="1"/>
  <c r="S81" i="1" s="1"/>
  <c r="Q82" i="1"/>
  <c r="S82" i="1" s="1"/>
  <c r="Q83" i="1"/>
  <c r="S83" i="1" s="1"/>
  <c r="Q84" i="1"/>
  <c r="S84" i="1" s="1"/>
  <c r="Q85" i="1"/>
  <c r="S85" i="1" s="1"/>
  <c r="Q86" i="1"/>
  <c r="S86" i="1" s="1"/>
  <c r="Q87" i="1"/>
  <c r="S87" i="1" s="1"/>
  <c r="Q88" i="1"/>
  <c r="S88" i="1" s="1"/>
  <c r="Q89" i="1"/>
  <c r="S89" i="1" s="1"/>
  <c r="Q90" i="1"/>
  <c r="S90" i="1" s="1"/>
  <c r="Q91" i="1"/>
  <c r="S91" i="1" s="1"/>
  <c r="Q92" i="1"/>
  <c r="S92" i="1" s="1"/>
  <c r="Q93" i="1"/>
  <c r="S93" i="1" s="1"/>
  <c r="Q94" i="1"/>
  <c r="S94" i="1" s="1"/>
  <c r="Q95" i="1"/>
  <c r="S95" i="1" s="1"/>
  <c r="Q96" i="1"/>
  <c r="S96" i="1" s="1"/>
  <c r="Q97" i="1"/>
  <c r="S97" i="1" s="1"/>
  <c r="Q98" i="1"/>
  <c r="S98" i="1" s="1"/>
  <c r="Q99" i="1"/>
  <c r="S99" i="1" s="1"/>
  <c r="Q100" i="1"/>
  <c r="S100" i="1" s="1"/>
  <c r="Q101" i="1"/>
  <c r="S101" i="1" s="1"/>
  <c r="S70"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V2" i="1" a="1"/>
  <c r="V2" i="1" s="1"/>
  <c r="V4" i="1" a="1"/>
  <c r="V4" i="1" s="1"/>
  <c r="W4" i="1" s="1"/>
  <c r="V5" i="1" a="1"/>
  <c r="V5" i="1" s="1"/>
  <c r="V7" i="1" a="1"/>
  <c r="V7" i="1" s="1"/>
  <c r="W7" i="1" s="1"/>
  <c r="V8" i="1" a="1"/>
  <c r="V8" i="1" s="1"/>
  <c r="W8" i="1" s="1"/>
  <c r="V9" i="1" a="1"/>
  <c r="V9" i="1" s="1"/>
  <c r="W9" i="1" s="1"/>
  <c r="V10" i="1" a="1"/>
  <c r="V10" i="1" s="1"/>
  <c r="W10" i="1" s="1"/>
  <c r="V11" i="1" a="1"/>
  <c r="V11" i="1" s="1"/>
  <c r="W11" i="1" s="1"/>
  <c r="V12" i="1" a="1"/>
  <c r="V12" i="1" s="1"/>
  <c r="W12" i="1" s="1"/>
  <c r="V13" i="1" a="1"/>
  <c r="V13" i="1" s="1"/>
  <c r="W13" i="1" s="1"/>
  <c r="V14" i="1" a="1"/>
  <c r="V14" i="1" s="1"/>
  <c r="W14" i="1" s="1"/>
  <c r="V15" i="1" a="1"/>
  <c r="V15" i="1" s="1"/>
  <c r="W15" i="1" s="1"/>
  <c r="V16" i="1" a="1"/>
  <c r="V16" i="1" s="1"/>
  <c r="W16" i="1" s="1"/>
  <c r="V17" i="1" a="1"/>
  <c r="V17" i="1" s="1"/>
  <c r="W17" i="1" s="1"/>
  <c r="V19" i="1" a="1"/>
  <c r="V19" i="1" s="1"/>
  <c r="W19" i="1" s="1"/>
  <c r="V20" i="1" a="1"/>
  <c r="V20" i="1" s="1"/>
  <c r="W20" i="1" s="1"/>
  <c r="V21" i="1" a="1"/>
  <c r="V21" i="1" s="1"/>
  <c r="W21" i="1" s="1"/>
  <c r="V22" i="1" a="1"/>
  <c r="V22" i="1" s="1"/>
  <c r="W22" i="1" s="1"/>
  <c r="V23" i="1" a="1"/>
  <c r="V23" i="1" s="1"/>
  <c r="W23" i="1" s="1"/>
  <c r="V24" i="1" a="1"/>
  <c r="V24" i="1" s="1"/>
  <c r="W24" i="1" s="1"/>
  <c r="V28" i="1" a="1"/>
  <c r="V28" i="1" s="1"/>
  <c r="W28" i="1" s="1"/>
  <c r="V29" i="1" a="1"/>
  <c r="V29" i="1" s="1"/>
  <c r="W29" i="1" s="1"/>
  <c r="V30" i="1" a="1"/>
  <c r="V30" i="1" s="1"/>
  <c r="W30" i="1" s="1"/>
  <c r="V31" i="1" a="1"/>
  <c r="V31" i="1" s="1"/>
  <c r="W31" i="1" s="1"/>
  <c r="V32" i="1" a="1"/>
  <c r="V32" i="1" s="1"/>
  <c r="W32" i="1" s="1"/>
  <c r="V33" i="1" a="1"/>
  <c r="V33" i="1" s="1"/>
  <c r="W33" i="1" s="1"/>
  <c r="V35" i="1" a="1"/>
  <c r="V35" i="1" s="1"/>
  <c r="W35" i="1" s="1"/>
  <c r="V37" i="1" a="1"/>
  <c r="V37" i="1" s="1"/>
  <c r="V39" i="1" a="1"/>
  <c r="V39" i="1" s="1"/>
  <c r="W39" i="1" s="1"/>
  <c r="V40" i="1" a="1"/>
  <c r="V40" i="1" s="1"/>
  <c r="W40" i="1" s="1"/>
  <c r="V41" i="1" a="1"/>
  <c r="V41" i="1" s="1"/>
  <c r="W41" i="1" s="1"/>
  <c r="V44" i="1" a="1"/>
  <c r="V44" i="1" s="1"/>
  <c r="W44" i="1" s="1"/>
  <c r="V45" i="1" a="1"/>
  <c r="V45" i="1" s="1"/>
  <c r="W45" i="1" s="1"/>
  <c r="V46" i="1" a="1"/>
  <c r="V46" i="1" s="1"/>
  <c r="W46" i="1" s="1"/>
  <c r="V50" i="1" a="1"/>
  <c r="V50" i="1" s="1"/>
  <c r="W50" i="1" s="1"/>
  <c r="V52" i="1" a="1"/>
  <c r="V52" i="1" s="1"/>
  <c r="W52" i="1" s="1"/>
  <c r="V55" i="1" a="1"/>
  <c r="V55" i="1" s="1"/>
  <c r="W55" i="1" s="1"/>
  <c r="V59" i="1" a="1"/>
  <c r="V59" i="1" s="1"/>
  <c r="W59" i="1" s="1"/>
  <c r="V60" i="1" a="1"/>
  <c r="V60" i="1" s="1"/>
  <c r="W60" i="1" s="1"/>
  <c r="V61" i="1" a="1"/>
  <c r="V61" i="1" s="1"/>
  <c r="W61" i="1" s="1"/>
  <c r="V62" i="1" a="1"/>
  <c r="V62" i="1" s="1"/>
  <c r="W62" i="1" s="1"/>
  <c r="V64" i="1" a="1"/>
  <c r="V64" i="1" s="1"/>
  <c r="W64" i="1" s="1"/>
  <c r="V66" i="1" a="1"/>
  <c r="V66" i="1" s="1"/>
  <c r="W66" i="1" s="1"/>
  <c r="V67" i="1" a="1"/>
  <c r="V67" i="1" s="1"/>
  <c r="W67" i="1" s="1"/>
  <c r="V69" i="1" a="1"/>
  <c r="V69" i="1" s="1"/>
  <c r="W69" i="1" s="1"/>
  <c r="V70" i="1" a="1"/>
  <c r="V70" i="1" s="1"/>
  <c r="W70" i="1" s="1"/>
  <c r="V71" i="1" a="1"/>
  <c r="V71" i="1" s="1"/>
  <c r="W71" i="1" s="1"/>
  <c r="V73" i="1" a="1"/>
  <c r="V73" i="1" s="1"/>
  <c r="W73" i="1" s="1"/>
  <c r="V74" i="1" a="1"/>
  <c r="V74" i="1" s="1"/>
  <c r="W74" i="1" s="1"/>
  <c r="V76" i="1" a="1"/>
  <c r="V76" i="1" s="1"/>
  <c r="W76" i="1" s="1"/>
  <c r="V79" i="1" a="1"/>
  <c r="V79" i="1" s="1"/>
  <c r="W79" i="1" s="1"/>
  <c r="V80" i="1" a="1"/>
  <c r="V80" i="1" s="1"/>
  <c r="W80" i="1" s="1"/>
  <c r="V82" i="1" a="1"/>
  <c r="V82" i="1" s="1"/>
  <c r="W82" i="1" s="1"/>
  <c r="V83" i="1" a="1"/>
  <c r="V83" i="1" s="1"/>
  <c r="W83" i="1" s="1"/>
  <c r="V85" i="1" a="1"/>
  <c r="V85" i="1" s="1"/>
  <c r="W85" i="1" s="1"/>
  <c r="V86" i="1" a="1"/>
  <c r="V86" i="1" s="1"/>
  <c r="W86" i="1" s="1"/>
  <c r="V87" i="1" a="1"/>
  <c r="V87" i="1" s="1"/>
  <c r="W87" i="1" s="1"/>
  <c r="V88" i="1" a="1"/>
  <c r="V88" i="1" s="1"/>
  <c r="W88" i="1" s="1"/>
  <c r="V89" i="1" a="1"/>
  <c r="V89" i="1" s="1"/>
  <c r="W89" i="1" s="1"/>
  <c r="V90" i="1" a="1"/>
  <c r="V90" i="1" s="1"/>
  <c r="W90" i="1" s="1"/>
  <c r="V91" i="1" a="1"/>
  <c r="V91" i="1" s="1"/>
  <c r="W91" i="1" s="1"/>
  <c r="V93" i="1" a="1"/>
  <c r="V93" i="1" s="1"/>
  <c r="W93" i="1" s="1"/>
  <c r="V95" i="1" a="1"/>
  <c r="V95" i="1" s="1"/>
  <c r="W95" i="1" s="1"/>
  <c r="V96" i="1" a="1"/>
  <c r="V96" i="1" s="1"/>
  <c r="W96" i="1" s="1"/>
  <c r="V100" i="1" a="1"/>
  <c r="V100" i="1" s="1"/>
  <c r="W100" i="1" s="1"/>
  <c r="V101" i="1" a="1"/>
  <c r="V101" i="1" s="1"/>
  <c r="W101" i="1" s="1"/>
  <c r="W5" i="1"/>
  <c r="W37" i="1"/>
  <c r="R6" i="1"/>
  <c r="V6" i="1" s="1" a="1"/>
  <c r="V6" i="1" s="1"/>
  <c r="R18" i="1"/>
  <c r="V18" i="1" s="1" a="1"/>
  <c r="V18" i="1" s="1"/>
  <c r="F2" i="7"/>
  <c r="F3" i="7"/>
  <c r="F4" i="7"/>
  <c r="F5" i="7"/>
  <c r="F6" i="7"/>
  <c r="F7" i="7"/>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4" i="7"/>
  <c r="F55" i="7"/>
  <c r="F56" i="7"/>
  <c r="F57" i="7"/>
  <c r="F58" i="7"/>
  <c r="F59" i="7"/>
  <c r="F60" i="7"/>
  <c r="F61" i="7"/>
  <c r="F62" i="7"/>
  <c r="F63" i="7"/>
  <c r="F64" i="7"/>
  <c r="F65" i="7"/>
  <c r="F66" i="7"/>
  <c r="F67" i="7"/>
  <c r="F68" i="7"/>
  <c r="F69" i="7"/>
  <c r="F70" i="7"/>
  <c r="F71" i="7"/>
  <c r="F72" i="7"/>
  <c r="F73" i="7"/>
  <c r="F74" i="7"/>
  <c r="F75" i="7"/>
  <c r="F76" i="7"/>
  <c r="F77" i="7"/>
  <c r="F78" i="7"/>
  <c r="F79" i="7"/>
  <c r="F80" i="7"/>
  <c r="F81" i="7"/>
  <c r="F82" i="7"/>
  <c r="F83" i="7"/>
  <c r="F84" i="7"/>
  <c r="F85" i="7"/>
  <c r="F86" i="7"/>
  <c r="F87" i="7"/>
  <c r="F88" i="7"/>
  <c r="F89" i="7"/>
  <c r="F90" i="7"/>
  <c r="F91" i="7"/>
  <c r="F92" i="7"/>
  <c r="F93" i="7"/>
  <c r="F94" i="7"/>
  <c r="F95" i="7"/>
  <c r="F96" i="7"/>
  <c r="F97" i="7"/>
  <c r="F98" i="7"/>
  <c r="F99" i="7"/>
  <c r="F100" i="7"/>
  <c r="F101" i="7"/>
  <c r="O2" i="7"/>
  <c r="O3" i="7"/>
  <c r="O4" i="7"/>
  <c r="O5" i="7"/>
  <c r="O6" i="7"/>
  <c r="O7" i="7"/>
  <c r="O8" i="7"/>
  <c r="O9" i="7"/>
  <c r="O10" i="7"/>
  <c r="O11" i="7"/>
  <c r="O12" i="7"/>
  <c r="O13" i="7"/>
  <c r="O14" i="7"/>
  <c r="O15" i="7"/>
  <c r="O16" i="7"/>
  <c r="O17" i="7"/>
  <c r="O18" i="7"/>
  <c r="O19" i="7"/>
  <c r="O20" i="7"/>
  <c r="O21" i="7"/>
  <c r="O22" i="7"/>
  <c r="O23" i="7"/>
  <c r="O24" i="7"/>
  <c r="O25" i="7"/>
  <c r="O26" i="7"/>
  <c r="O27" i="7"/>
  <c r="O28" i="7"/>
  <c r="O29" i="7"/>
  <c r="O30" i="7"/>
  <c r="O31" i="7"/>
  <c r="O32" i="7"/>
  <c r="O33" i="7"/>
  <c r="O34" i="7"/>
  <c r="O35" i="7"/>
  <c r="O36" i="7"/>
  <c r="O37" i="7"/>
  <c r="O38" i="7"/>
  <c r="O39" i="7"/>
  <c r="O40" i="7"/>
  <c r="O41" i="7"/>
  <c r="O42" i="7"/>
  <c r="O43" i="7"/>
  <c r="O44" i="7"/>
  <c r="O45" i="7"/>
  <c r="O46" i="7"/>
  <c r="O47" i="7"/>
  <c r="O48" i="7"/>
  <c r="O49" i="7"/>
  <c r="O50" i="7"/>
  <c r="O51" i="7"/>
  <c r="O52" i="7"/>
  <c r="O53" i="7"/>
  <c r="O54" i="7"/>
  <c r="O55" i="7"/>
  <c r="O56" i="7"/>
  <c r="O57" i="7"/>
  <c r="O58" i="7"/>
  <c r="O59" i="7"/>
  <c r="O60" i="7"/>
  <c r="O61" i="7"/>
  <c r="O62" i="7"/>
  <c r="O63" i="7"/>
  <c r="O64" i="7"/>
  <c r="O65" i="7"/>
  <c r="O66" i="7"/>
  <c r="O67" i="7"/>
  <c r="O68" i="7"/>
  <c r="O69" i="7"/>
  <c r="O70" i="7"/>
  <c r="O71" i="7"/>
  <c r="O72" i="7"/>
  <c r="O73" i="7"/>
  <c r="O74" i="7"/>
  <c r="O75" i="7"/>
  <c r="O76" i="7"/>
  <c r="O77" i="7"/>
  <c r="O78" i="7"/>
  <c r="O79" i="7"/>
  <c r="O80" i="7"/>
  <c r="O81" i="7"/>
  <c r="O82" i="7"/>
  <c r="O83" i="7"/>
  <c r="O84" i="7"/>
  <c r="O85" i="7"/>
  <c r="O86" i="7"/>
  <c r="O87" i="7"/>
  <c r="O88" i="7"/>
  <c r="O89" i="7"/>
  <c r="O90" i="7"/>
  <c r="O91" i="7"/>
  <c r="O92" i="7"/>
  <c r="O93" i="7"/>
  <c r="O94" i="7"/>
  <c r="O95" i="7"/>
  <c r="O96" i="7"/>
  <c r="O97" i="7"/>
  <c r="O98" i="7"/>
  <c r="O99" i="7"/>
  <c r="O100" i="7"/>
  <c r="O101" i="7"/>
  <c r="N17" i="18"/>
  <c r="N11" i="18"/>
  <c r="N5" i="18"/>
  <c r="R97" i="1"/>
  <c r="V97" i="1" s="1" a="1"/>
  <c r="V97" i="1" s="1"/>
  <c r="W97" i="1" s="1"/>
  <c r="R77" i="1"/>
  <c r="V77" i="1" s="1" a="1"/>
  <c r="V77" i="1" s="1"/>
  <c r="W77" i="1" s="1"/>
  <c r="R65" i="1"/>
  <c r="V65" i="1" s="1" a="1"/>
  <c r="V65" i="1" s="1"/>
  <c r="W65" i="1" s="1"/>
  <c r="R58" i="1"/>
  <c r="V58" i="1" s="1" a="1"/>
  <c r="V58" i="1" s="1"/>
  <c r="W58" i="1" s="1"/>
  <c r="R56" i="1"/>
  <c r="V56" i="1" s="1" a="1"/>
  <c r="V56" i="1" s="1"/>
  <c r="W56" i="1" s="1"/>
  <c r="R53" i="1"/>
  <c r="V53" i="1" s="1" a="1"/>
  <c r="V53" i="1" s="1"/>
  <c r="W53" i="1" s="1"/>
  <c r="R36" i="1"/>
  <c r="V36" i="1" s="1" a="1"/>
  <c r="V36" i="1" s="1"/>
  <c r="W36" i="1" s="1"/>
  <c r="R25" i="1"/>
  <c r="V25" i="1" s="1" a="1"/>
  <c r="V25" i="1" s="1"/>
  <c r="B24" i="4"/>
  <c r="E24" i="4"/>
  <c r="N23" i="18"/>
  <c r="N29" i="18"/>
  <c r="C14" i="9"/>
  <c r="C15" i="9"/>
  <c r="W2" i="1" l="1"/>
  <c r="W25" i="1"/>
  <c r="W18" i="1"/>
  <c r="W6" i="1"/>
  <c r="O102" i="7"/>
  <c r="R3" i="1" l="1"/>
  <c r="R26" i="1"/>
  <c r="R27" i="1"/>
  <c r="V27" i="1" s="1" a="1"/>
  <c r="V27" i="1" s="1"/>
  <c r="W27" i="1" s="1"/>
  <c r="R34" i="1"/>
  <c r="V34" i="1" s="1" a="1"/>
  <c r="V34" i="1" s="1"/>
  <c r="W34" i="1" s="1"/>
  <c r="R38" i="1"/>
  <c r="V38" i="1" s="1" a="1"/>
  <c r="V38" i="1" s="1"/>
  <c r="W38" i="1" s="1"/>
  <c r="R42" i="1"/>
  <c r="V42" i="1" s="1" a="1"/>
  <c r="V42" i="1" s="1"/>
  <c r="W42" i="1" s="1"/>
  <c r="R43" i="1"/>
  <c r="V43" i="1" s="1" a="1"/>
  <c r="V43" i="1" s="1"/>
  <c r="W43" i="1" s="1"/>
  <c r="R47" i="1"/>
  <c r="V47" i="1" s="1" a="1"/>
  <c r="V47" i="1" s="1"/>
  <c r="W47" i="1" s="1"/>
  <c r="R48" i="1"/>
  <c r="V48" i="1" s="1" a="1"/>
  <c r="V48" i="1" s="1"/>
  <c r="W48" i="1" s="1"/>
  <c r="R49" i="1"/>
  <c r="V49" i="1" s="1" a="1"/>
  <c r="V49" i="1" s="1"/>
  <c r="W49" i="1" s="1"/>
  <c r="R51" i="1"/>
  <c r="V51" i="1" s="1" a="1"/>
  <c r="V51" i="1" s="1"/>
  <c r="W51" i="1" s="1"/>
  <c r="R54" i="1"/>
  <c r="V54" i="1" s="1" a="1"/>
  <c r="V54" i="1" s="1"/>
  <c r="W54" i="1" s="1"/>
  <c r="R57" i="1"/>
  <c r="V57" i="1" s="1" a="1"/>
  <c r="V57" i="1" s="1"/>
  <c r="W57" i="1" s="1"/>
  <c r="R63" i="1"/>
  <c r="V63" i="1" s="1" a="1"/>
  <c r="V63" i="1" s="1"/>
  <c r="W63" i="1" s="1"/>
  <c r="R68" i="1"/>
  <c r="V68" i="1" s="1" a="1"/>
  <c r="V68" i="1" s="1"/>
  <c r="W68" i="1" s="1"/>
  <c r="R72" i="1"/>
  <c r="V72" i="1" s="1" a="1"/>
  <c r="V72" i="1" s="1"/>
  <c r="W72" i="1" s="1"/>
  <c r="R75" i="1"/>
  <c r="V75" i="1" s="1" a="1"/>
  <c r="V75" i="1" s="1"/>
  <c r="W75" i="1" s="1"/>
  <c r="R78" i="1"/>
  <c r="V78" i="1" s="1" a="1"/>
  <c r="V78" i="1" s="1"/>
  <c r="W78" i="1" s="1"/>
  <c r="R81" i="1"/>
  <c r="V81" i="1" s="1" a="1"/>
  <c r="V81" i="1" s="1"/>
  <c r="W81" i="1" s="1"/>
  <c r="R84" i="1"/>
  <c r="V84" i="1" s="1" a="1"/>
  <c r="V84" i="1" s="1"/>
  <c r="W84" i="1" s="1"/>
  <c r="R92" i="1"/>
  <c r="V92" i="1" s="1" a="1"/>
  <c r="V92" i="1" s="1"/>
  <c r="W92" i="1" s="1"/>
  <c r="R94" i="1"/>
  <c r="V94" i="1" s="1" a="1"/>
  <c r="V94" i="1" s="1"/>
  <c r="W94" i="1" s="1"/>
  <c r="R98" i="1"/>
  <c r="V98" i="1" s="1" a="1"/>
  <c r="V98" i="1" s="1"/>
  <c r="W98" i="1" s="1"/>
  <c r="R99" i="1"/>
  <c r="V99" i="1" s="1" a="1"/>
  <c r="V99" i="1" s="1"/>
  <c r="W99" i="1" s="1"/>
  <c r="V26" i="1" l="1" a="1"/>
  <c r="V26" i="1" s="1"/>
  <c r="W26" i="1" s="1"/>
  <c r="V3" i="1" a="1"/>
  <c r="V3" i="1" s="1"/>
  <c r="W3" i="1" l="1"/>
  <c r="W102" i="1" s="1"/>
  <c r="V10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F07CF1A-1AD7-4973-9C79-FE36B972F653}" keepAlive="1" name="Query - AmazonSales (2)" description="Connection to the 'AmazonSales (2)' query in the workbook." type="5" refreshedVersion="8" background="1" saveData="1">
    <dbPr connection="Provider=Microsoft.Mashup.OleDb.1;Data Source=$Workbook$;Location=&quot;AmazonSales (2)&quot;;Extended Properties=&quot;&quot;" command="SELECT * FROM [AmazonSales (2)]"/>
  </connection>
  <connection id="2" xr16:uid="{9850145C-3B36-40C8-999D-217F0B626828}" keepAlive="1" name="Query - AmazonSales (3)" description="Connection to the 'AmazonSales (3)' query in the workbook." type="5" refreshedVersion="8" background="1" saveData="1">
    <dbPr connection="Provider=Microsoft.Mashup.OleDb.1;Data Source=$Workbook$;Location=&quot;AmazonSales (3)&quot;;Extended Properties=&quot;&quot;" command="SELECT * FROM [AmazonSales (3)]"/>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<sst xmlns="http://schemas.openxmlformats.org/spreadsheetml/2006/main" count="2951" uniqueCount="515">
  <si>
    <t>Order ID</t>
  </si>
  <si>
    <t>Order Date</t>
  </si>
  <si>
    <t>Delivery Date</t>
  </si>
  <si>
    <t>Cancel Date</t>
  </si>
  <si>
    <t>Customer ID</t>
  </si>
  <si>
    <t>Product ID</t>
  </si>
  <si>
    <t>Region</t>
  </si>
  <si>
    <t>Sale Price/Unit</t>
  </si>
  <si>
    <t>Quantity</t>
  </si>
  <si>
    <t>Total Amount</t>
  </si>
  <si>
    <t>Payment Method</t>
  </si>
  <si>
    <t>Delivery Status</t>
  </si>
  <si>
    <t>Fulfillment Partner</t>
  </si>
  <si>
    <t>ORD0001</t>
  </si>
  <si>
    <t>CUST021</t>
  </si>
  <si>
    <t>PROD012</t>
  </si>
  <si>
    <t>North</t>
  </si>
  <si>
    <t>Apple Pay</t>
  </si>
  <si>
    <t>Cancelled</t>
  </si>
  <si>
    <t>DHL</t>
  </si>
  <si>
    <t>ORD0002</t>
  </si>
  <si>
    <t>CUST029</t>
  </si>
  <si>
    <t>PROD018</t>
  </si>
  <si>
    <t>East</t>
  </si>
  <si>
    <t>Credit Card</t>
  </si>
  <si>
    <t>Delivered</t>
  </si>
  <si>
    <t>ORD0003</t>
  </si>
  <si>
    <t>PROD013</t>
  </si>
  <si>
    <t>South</t>
  </si>
  <si>
    <t>In Transit</t>
  </si>
  <si>
    <t>USPS</t>
  </si>
  <si>
    <t>ORD0004</t>
  </si>
  <si>
    <t>CUST044</t>
  </si>
  <si>
    <t>PayPal</t>
  </si>
  <si>
    <t>UPS</t>
  </si>
  <si>
    <t>ORD0005</t>
  </si>
  <si>
    <t>CUST027</t>
  </si>
  <si>
    <t>PROD010</t>
  </si>
  <si>
    <t>Amazon Logistics</t>
  </si>
  <si>
    <t>ORD0006</t>
  </si>
  <si>
    <t>CUST009</t>
  </si>
  <si>
    <t>Amazon Pay</t>
  </si>
  <si>
    <t>ORD0007</t>
  </si>
  <si>
    <t>CUST042</t>
  </si>
  <si>
    <t>PROD020</t>
  </si>
  <si>
    <t>Central</t>
  </si>
  <si>
    <t>Debit Card</t>
  </si>
  <si>
    <t>ORD0008</t>
  </si>
  <si>
    <t>CUST019</t>
  </si>
  <si>
    <t>PROD021</t>
  </si>
  <si>
    <t>West</t>
  </si>
  <si>
    <t>ORD0009</t>
  </si>
  <si>
    <t>CUST013</t>
  </si>
  <si>
    <t>PROD019</t>
  </si>
  <si>
    <t>ORD0010</t>
  </si>
  <si>
    <t>PROD003</t>
  </si>
  <si>
    <t>ORD0011</t>
  </si>
  <si>
    <t>CUST046</t>
  </si>
  <si>
    <t>PROD014</t>
  </si>
  <si>
    <t>ORD0012</t>
  </si>
  <si>
    <t>CUST045</t>
  </si>
  <si>
    <t>FedEx</t>
  </si>
  <si>
    <t>ORD0013</t>
  </si>
  <si>
    <t>CUST023</t>
  </si>
  <si>
    <t>PROD006</t>
  </si>
  <si>
    <t>ORD0014</t>
  </si>
  <si>
    <t>CUST033</t>
  </si>
  <si>
    <t>PROD017</t>
  </si>
  <si>
    <t>ORD0015</t>
  </si>
  <si>
    <t>PROD005</t>
  </si>
  <si>
    <t>ORD0016</t>
  </si>
  <si>
    <t>CUST047</t>
  </si>
  <si>
    <t>ORD0017</t>
  </si>
  <si>
    <t>PROD015</t>
  </si>
  <si>
    <t>ORD0018</t>
  </si>
  <si>
    <t>CUST011</t>
  </si>
  <si>
    <t>PROD008</t>
  </si>
  <si>
    <t>ORD0019</t>
  </si>
  <si>
    <t>CUST041</t>
  </si>
  <si>
    <t>ORD0020</t>
  </si>
  <si>
    <t>CUST025</t>
  </si>
  <si>
    <t>PROD001</t>
  </si>
  <si>
    <t>ORD0021</t>
  </si>
  <si>
    <t>ORD0022</t>
  </si>
  <si>
    <t>ORD0023</t>
  </si>
  <si>
    <t>CUST016</t>
  </si>
  <si>
    <t>ORD0024</t>
  </si>
  <si>
    <t>CUST028</t>
  </si>
  <si>
    <t>ORD0025</t>
  </si>
  <si>
    <t>CUST040</t>
  </si>
  <si>
    <t>PROD002</t>
  </si>
  <si>
    <t>ORD0026</t>
  </si>
  <si>
    <t>PROD022</t>
  </si>
  <si>
    <t>ORD0027</t>
  </si>
  <si>
    <t>CUST018</t>
  </si>
  <si>
    <t>ORD0028</t>
  </si>
  <si>
    <t>ORD0029</t>
  </si>
  <si>
    <t>CUST007</t>
  </si>
  <si>
    <t>ORD0030</t>
  </si>
  <si>
    <t>CUST008</t>
  </si>
  <si>
    <t>ORD0031</t>
  </si>
  <si>
    <t>CUST014</t>
  </si>
  <si>
    <t>ORD0032</t>
  </si>
  <si>
    <t>CUST037</t>
  </si>
  <si>
    <t>PROD009</t>
  </si>
  <si>
    <t>ORD0033</t>
  </si>
  <si>
    <t>ORD0034</t>
  </si>
  <si>
    <t>ORD0035</t>
  </si>
  <si>
    <t>CUST032</t>
  </si>
  <si>
    <t>PROD011</t>
  </si>
  <si>
    <t>ORD0036</t>
  </si>
  <si>
    <t>PROD016</t>
  </si>
  <si>
    <t>ORD0037</t>
  </si>
  <si>
    <t>ORD0038</t>
  </si>
  <si>
    <t>PROD007</t>
  </si>
  <si>
    <t>ORD0039</t>
  </si>
  <si>
    <t>CUST024</t>
  </si>
  <si>
    <t>ORD0040</t>
  </si>
  <si>
    <t>CUST006</t>
  </si>
  <si>
    <t>PROD004</t>
  </si>
  <si>
    <t>ORD0041</t>
  </si>
  <si>
    <t>CUST001</t>
  </si>
  <si>
    <t>ORD0042</t>
  </si>
  <si>
    <t>ORD0043</t>
  </si>
  <si>
    <t>ORD0044</t>
  </si>
  <si>
    <t>ORD0045</t>
  </si>
  <si>
    <t>ORD0046</t>
  </si>
  <si>
    <t>CUST039</t>
  </si>
  <si>
    <t>ORD0047</t>
  </si>
  <si>
    <t>ORD0048</t>
  </si>
  <si>
    <t>ORD0049</t>
  </si>
  <si>
    <t>CUST026</t>
  </si>
  <si>
    <t>ORD0050</t>
  </si>
  <si>
    <t>ORD0051</t>
  </si>
  <si>
    <t>ORD0052</t>
  </si>
  <si>
    <t>ORD0053</t>
  </si>
  <si>
    <t>ORD0054</t>
  </si>
  <si>
    <t>ORD0055</t>
  </si>
  <si>
    <t>ORD0056</t>
  </si>
  <si>
    <t>CUST017</t>
  </si>
  <si>
    <t>ORD0057</t>
  </si>
  <si>
    <t>ORD0058</t>
  </si>
  <si>
    <t>ORD0059</t>
  </si>
  <si>
    <t>CUST003</t>
  </si>
  <si>
    <t>ORD0060</t>
  </si>
  <si>
    <t>ORD0061</t>
  </si>
  <si>
    <t>CUST035</t>
  </si>
  <si>
    <t>ORD0062</t>
  </si>
  <si>
    <t>CUST022</t>
  </si>
  <si>
    <t>ORD0063</t>
  </si>
  <si>
    <t>CUST004</t>
  </si>
  <si>
    <t>ORD0064</t>
  </si>
  <si>
    <t>CUST048</t>
  </si>
  <si>
    <t>ORD0065</t>
  </si>
  <si>
    <t>ORD0066</t>
  </si>
  <si>
    <t>ORD0067</t>
  </si>
  <si>
    <t>CUST050</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</si>
  <si>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</si>
  <si>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</si>
  <si>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</si>
  <si>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</si>
  <si>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</si>
  <si>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</si>
  <si>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</si>
  <si>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</si>
  <si>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</si>
  <si>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</si>
  <si>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</si>
  <si>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</si>
  <si>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</si>
  <si>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</si>
  <si>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</si>
  <si>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</si>
  <si>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</si>
  <si>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CUST015</t>
  </si>
  <si>
    <t>ORD0085</t>
  </si>
  <si>
    <t>ORD0086</t>
  </si>
  <si>
    <t>ORD0087</t>
  </si>
  <si>
    <t>CUST043</t>
  </si>
  <si>
    <t>ORD0088</t>
  </si>
  <si>
    <t>ORD0089</t>
  </si>
  <si>
    <t>ORD0090</t>
  </si>
  <si>
    <t>ORD0091</t>
  </si>
  <si>
    <t>CUST031</t>
  </si>
  <si>
    <t>ORD0092</t>
  </si>
  <si>
    <t>ORD0093</t>
  </si>
  <si>
    <t>CUST036</t>
  </si>
  <si>
    <t>ORD0094</t>
  </si>
  <si>
    <t>ORD0095</t>
  </si>
  <si>
    <t>ORD0096</t>
  </si>
  <si>
    <t>ORD0097</t>
  </si>
  <si>
    <t>ORD0098</t>
  </si>
  <si>
    <t>ORD0099</t>
  </si>
  <si>
    <t>CUST034</t>
  </si>
  <si>
    <t>ORD0100</t>
  </si>
  <si>
    <t>Grand Total</t>
  </si>
  <si>
    <t>Order Status</t>
  </si>
  <si>
    <t>12/31/2023</t>
  </si>
  <si>
    <t/>
  </si>
  <si>
    <t>1/2/2024</t>
  </si>
  <si>
    <t>2/22/2023</t>
  </si>
  <si>
    <t>2/24/2023</t>
  </si>
  <si>
    <t>10/11/2023</t>
  </si>
  <si>
    <t>5/5/2023</t>
  </si>
  <si>
    <t>5/11/2023</t>
  </si>
  <si>
    <t>2/2/2023</t>
  </si>
  <si>
    <t>2/5/2023</t>
  </si>
  <si>
    <t>11/1/2023</t>
  </si>
  <si>
    <t>11/2/2023</t>
  </si>
  <si>
    <t>8/14/2023</t>
  </si>
  <si>
    <t>8/18/2023</t>
  </si>
  <si>
    <t>4/1/2023</t>
  </si>
  <si>
    <t>4/6/2023</t>
  </si>
  <si>
    <t>7/21/2023</t>
  </si>
  <si>
    <t>12/29/2023</t>
  </si>
  <si>
    <t>5/4/2023</t>
  </si>
  <si>
    <t>5/8/2023</t>
  </si>
  <si>
    <t>7/25/2023</t>
  </si>
  <si>
    <t>2/25/2023</t>
  </si>
  <si>
    <t>2/28/2023</t>
  </si>
  <si>
    <t>8/26/2023</t>
  </si>
  <si>
    <t>9/2/2023</t>
  </si>
  <si>
    <t>2/13/2023</t>
  </si>
  <si>
    <t>6/28/2023</t>
  </si>
  <si>
    <t>7/1/2023</t>
  </si>
  <si>
    <t>11/28/2023</t>
  </si>
  <si>
    <t>8/25/2023</t>
  </si>
  <si>
    <t>4/12/2023</t>
  </si>
  <si>
    <t>10/2/2023</t>
  </si>
  <si>
    <t>11/9/2023</t>
  </si>
  <si>
    <t>2/14/2023</t>
  </si>
  <si>
    <t>11/5/2023</t>
  </si>
  <si>
    <t>5/28/2023</t>
  </si>
  <si>
    <t>5/30/2023</t>
  </si>
  <si>
    <t>10/15/2023</t>
  </si>
  <si>
    <t>10/21/2023</t>
  </si>
  <si>
    <t>1/16/2023</t>
  </si>
  <si>
    <t>10/9/2023</t>
  </si>
  <si>
    <t>10/7/2023</t>
  </si>
  <si>
    <t>10/10/2023</t>
  </si>
  <si>
    <t>3/26/2023</t>
  </si>
  <si>
    <t>6/15/2023</t>
  </si>
  <si>
    <t>6/22/2023</t>
  </si>
  <si>
    <t>5/22/2023</t>
  </si>
  <si>
    <t>5/23/2023</t>
  </si>
  <si>
    <t>11/20/2023</t>
  </si>
  <si>
    <t>12/22/2023</t>
  </si>
  <si>
    <t>12/26/2023</t>
  </si>
  <si>
    <t>7/23/2023</t>
  </si>
  <si>
    <t>10/17/2023</t>
  </si>
  <si>
    <t>10/22/2023</t>
  </si>
  <si>
    <t>8/22/2023</t>
  </si>
  <si>
    <t>8/24/2023</t>
  </si>
  <si>
    <t>12/2/2023</t>
  </si>
  <si>
    <t>12/25/2023</t>
  </si>
  <si>
    <t>9/23/2023</t>
  </si>
  <si>
    <t>9/30/2023</t>
  </si>
  <si>
    <t>7/16/2023</t>
  </si>
  <si>
    <t>7/18/2023</t>
  </si>
  <si>
    <t>2/11/2023</t>
  </si>
  <si>
    <t>12/18/2023</t>
  </si>
  <si>
    <t>12/23/2023</t>
  </si>
  <si>
    <t>6/11/2023</t>
  </si>
  <si>
    <t>6/14/2023</t>
  </si>
  <si>
    <t>12/4/2023</t>
  </si>
  <si>
    <t>12/8/2023</t>
  </si>
  <si>
    <t>7/17/2023</t>
  </si>
  <si>
    <t>7/19/2023</t>
  </si>
  <si>
    <t>10/19/2023</t>
  </si>
  <si>
    <t>10/24/2023</t>
  </si>
  <si>
    <t>5/15/2023</t>
  </si>
  <si>
    <t>2/12/2023</t>
  </si>
  <si>
    <t>2/19/2023</t>
  </si>
  <si>
    <t>1/30/2023</t>
  </si>
  <si>
    <t>2/1/2023</t>
  </si>
  <si>
    <t>1/1/2024</t>
  </si>
  <si>
    <t>3/6/2023</t>
  </si>
  <si>
    <t>3/13/2023</t>
  </si>
  <si>
    <t>2/6/2023</t>
  </si>
  <si>
    <t>10/18/2023</t>
  </si>
  <si>
    <t>1/7/2023</t>
  </si>
  <si>
    <t>1/9/2023</t>
  </si>
  <si>
    <t>4/2/2023</t>
  </si>
  <si>
    <t>4/5/2023</t>
  </si>
  <si>
    <t>10/12/2023</t>
  </si>
  <si>
    <t>9/10/2023</t>
  </si>
  <si>
    <t>11/22/2023</t>
  </si>
  <si>
    <t>11/29/2023</t>
  </si>
  <si>
    <t>5/2/2023</t>
  </si>
  <si>
    <t>10/20/2023</t>
  </si>
  <si>
    <t>5/20/2023</t>
  </si>
  <si>
    <t>5/21/2023</t>
  </si>
  <si>
    <t>7/28/2023</t>
  </si>
  <si>
    <t>7/30/2023</t>
  </si>
  <si>
    <t>7/2/2023</t>
  </si>
  <si>
    <t>7/7/2023</t>
  </si>
  <si>
    <t>3/7/2023</t>
  </si>
  <si>
    <t>7/22/2023</t>
  </si>
  <si>
    <t>1/18/2023</t>
  </si>
  <si>
    <t>1/24/2023</t>
  </si>
  <si>
    <t>5/24/2023</t>
  </si>
  <si>
    <t>9/3/2023</t>
  </si>
  <si>
    <t>9/9/2023</t>
  </si>
  <si>
    <t>11/4/2023</t>
  </si>
  <si>
    <t>12/3/2023</t>
  </si>
  <si>
    <t>12/6/2023</t>
  </si>
  <si>
    <t>10/16/2023</t>
  </si>
  <si>
    <t>6/18/2023</t>
  </si>
  <si>
    <t>10/28/2023</t>
  </si>
  <si>
    <t>10/30/2023</t>
  </si>
  <si>
    <t>11/10/2023</t>
  </si>
  <si>
    <t>7/13/2023</t>
  </si>
  <si>
    <t>6/23/2023</t>
  </si>
  <si>
    <t>6/29/2023</t>
  </si>
  <si>
    <t>2/21/2023</t>
  </si>
  <si>
    <t>12/5/2023</t>
  </si>
  <si>
    <t>12/12/2023</t>
  </si>
  <si>
    <t>6/7/2023</t>
  </si>
  <si>
    <t>6/12/2023</t>
  </si>
  <si>
    <t>7/9/2023</t>
  </si>
  <si>
    <t>7/12/2023</t>
  </si>
  <si>
    <t>9/25/2023</t>
  </si>
  <si>
    <t>3/27/2023</t>
  </si>
  <si>
    <t>Product Name</t>
  </si>
  <si>
    <t>Category</t>
  </si>
  <si>
    <t>Cost Price</t>
  </si>
  <si>
    <t>Description</t>
  </si>
  <si>
    <t>Smartphone</t>
  </si>
  <si>
    <t>Electronics</t>
  </si>
  <si>
    <t>Latest model with 5G, dual SIM, and OLED display</t>
  </si>
  <si>
    <t>Action Figure</t>
  </si>
  <si>
    <t>Toys</t>
  </si>
  <si>
    <t>Collectible superhero action figure for ages 8+</t>
  </si>
  <si>
    <t>Cookware Set</t>
  </si>
  <si>
    <t>Home</t>
  </si>
  <si>
    <t>Non-stick 5-piece cookware set for daily use</t>
  </si>
  <si>
    <t>Leg Set</t>
  </si>
  <si>
    <t>300-piece creative building block toy set</t>
  </si>
  <si>
    <t>T-Shirt</t>
  </si>
  <si>
    <t>Fashion</t>
  </si>
  <si>
    <t>Cotton t-shirt, available in multiple colors</t>
  </si>
  <si>
    <t>Shoes</t>
  </si>
  <si>
    <t>Casual wear shoes for men and women</t>
  </si>
  <si>
    <t>Puzzle</t>
  </si>
  <si>
    <t>1000-piece jigsaw puzzle</t>
  </si>
  <si>
    <t>Textbook</t>
  </si>
  <si>
    <t>Books</t>
  </si>
  <si>
    <t>University-level textbook on computer science</t>
  </si>
  <si>
    <t>Magazine</t>
  </si>
  <si>
    <t>Monthly lifestyle magazine</t>
  </si>
  <si>
    <t>Jeans</t>
  </si>
  <si>
    <t>Slim fit denim jeans with stretch</t>
  </si>
  <si>
    <t>Headphones</t>
  </si>
  <si>
    <t>Wireless noise-cancelling over-ear headphones</t>
  </si>
  <si>
    <t>Lamp</t>
  </si>
  <si>
    <t>LED desk lamp with dimmable light</t>
  </si>
  <si>
    <t>Vacuum Cleaner</t>
  </si>
  <si>
    <t>Portable cordless vacuum cleaner</t>
  </si>
  <si>
    <t>Smartwatch</t>
  </si>
  <si>
    <t>Fitness-focused smartwatch with heart rate monitoring</t>
  </si>
  <si>
    <t>Novel</t>
  </si>
  <si>
    <t>Best-selling fiction novel</t>
  </si>
  <si>
    <t>Cookware Set Pro</t>
  </si>
  <si>
    <t>Premium 10-piece stainless steel cookware collection</t>
  </si>
  <si>
    <t>Gaming Mouse</t>
  </si>
  <si>
    <t>High DPI gaming mouse with RGB lighting</t>
  </si>
  <si>
    <t>Doll House</t>
  </si>
  <si>
    <t>Wooden doll house with accessories</t>
  </si>
  <si>
    <t>Formal Shirt</t>
  </si>
  <si>
    <t>Long-sleeve formal shirt for office wear</t>
  </si>
  <si>
    <t>Bluetooth Speaker</t>
  </si>
  <si>
    <t>Portable speaker with deep bass and 12h battery life</t>
  </si>
  <si>
    <t>Wall Clock</t>
  </si>
  <si>
    <t>Silent quartz wall clock with modern design</t>
  </si>
  <si>
    <t>Backpack</t>
  </si>
  <si>
    <t>Waterproof backpack with laptop compartment</t>
  </si>
  <si>
    <t>Sales Target</t>
  </si>
  <si>
    <t>Product Category</t>
  </si>
  <si>
    <t>Count of Orders</t>
  </si>
  <si>
    <t>Regions</t>
  </si>
  <si>
    <t>Total sales amount</t>
  </si>
  <si>
    <t>Delivery Time</t>
  </si>
  <si>
    <t>Average of Delivery Time</t>
  </si>
  <si>
    <t>Customer Name</t>
  </si>
  <si>
    <t>Customer Type</t>
  </si>
  <si>
    <t>City</t>
  </si>
  <si>
    <t>State</t>
  </si>
  <si>
    <t>James Miller</t>
  </si>
  <si>
    <t>Business</t>
  </si>
  <si>
    <t>New York</t>
  </si>
  <si>
    <t>CUST002</t>
  </si>
  <si>
    <t>Emily Johnson</t>
  </si>
  <si>
    <t>Prime</t>
  </si>
  <si>
    <t>Seattle</t>
  </si>
  <si>
    <t>Washington</t>
  </si>
  <si>
    <t>Ethan Davis</t>
  </si>
  <si>
    <t>Austin</t>
  </si>
  <si>
    <t>Texas</t>
  </si>
  <si>
    <t>Noah Wilson</t>
  </si>
  <si>
    <t>San Francisco</t>
  </si>
  <si>
    <t>California</t>
  </si>
  <si>
    <t>CUST005</t>
  </si>
  <si>
    <t>Olivia Martinez</t>
  </si>
  <si>
    <t>Ava Robinson</t>
  </si>
  <si>
    <t>Chicago</t>
  </si>
  <si>
    <t>Illinois</t>
  </si>
  <si>
    <t>Liam Walker</t>
  </si>
  <si>
    <t>Harper Young</t>
  </si>
  <si>
    <t>Dallas</t>
  </si>
  <si>
    <t>Jackson Allen</t>
  </si>
  <si>
    <t>CUST010</t>
  </si>
  <si>
    <t>Charlotte Harris</t>
  </si>
  <si>
    <t>Mason Hall</t>
  </si>
  <si>
    <t>Miami</t>
  </si>
  <si>
    <t>Florida</t>
  </si>
  <si>
    <t>CUST012</t>
  </si>
  <si>
    <t>Individual</t>
  </si>
  <si>
    <t>Phoenix</t>
  </si>
  <si>
    <t>Arizona</t>
  </si>
  <si>
    <t>Ava White</t>
  </si>
  <si>
    <t>Elijah Lewis</t>
  </si>
  <si>
    <t>Emma King</t>
  </si>
  <si>
    <t>Grace Scott</t>
  </si>
  <si>
    <t>CUST020</t>
  </si>
  <si>
    <t>Benjamin Wright</t>
  </si>
  <si>
    <t>Zoe Mitchell</t>
  </si>
  <si>
    <t>Charlotte Reed</t>
  </si>
  <si>
    <t>Scarlett Murphy</t>
  </si>
  <si>
    <t>Hazel Brooks</t>
  </si>
  <si>
    <t>Lily Bennett</t>
  </si>
  <si>
    <t>CUST030</t>
  </si>
  <si>
    <t>Mason Collins</t>
  </si>
  <si>
    <t>Luke Gray</t>
  </si>
  <si>
    <t>Hazel Rivera</t>
  </si>
  <si>
    <t>Lily Simmons</t>
  </si>
  <si>
    <t>Scarlett Adams</t>
  </si>
  <si>
    <t>CUST038</t>
  </si>
  <si>
    <t>Luke Torres</t>
  </si>
  <si>
    <t>Logan Ramirez</t>
  </si>
  <si>
    <t>Benjamin Clark</t>
  </si>
  <si>
    <t>Jacob Price</t>
  </si>
  <si>
    <t>Lily Reed</t>
  </si>
  <si>
    <t>Grace Ward</t>
  </si>
  <si>
    <t>CUST049</t>
  </si>
  <si>
    <t>Hazel Gray</t>
  </si>
  <si>
    <t>Delivery Performance</t>
  </si>
  <si>
    <t>Total Orders</t>
  </si>
  <si>
    <t>Order count</t>
  </si>
  <si>
    <t>Cancelled Orders</t>
  </si>
  <si>
    <t>Delivered sales Amount</t>
  </si>
  <si>
    <t>Effective Sales</t>
  </si>
  <si>
    <t>Delivered Orders</t>
  </si>
  <si>
    <r>
      <t>●</t>
    </r>
    <r>
      <rPr>
        <sz val="7"/>
        <color theme="1"/>
        <rFont val="Times New Roman"/>
        <family val="1"/>
      </rPr>
      <t xml:space="preserve">     </t>
    </r>
    <r>
      <rPr>
        <sz val="11"/>
        <color theme="1"/>
        <rFont val="Tahoma"/>
        <family val="2"/>
      </rPr>
      <t xml:space="preserve">Create a field: </t>
    </r>
    <r>
      <rPr>
        <b/>
        <sz val="11"/>
        <color theme="1"/>
        <rFont val="Tahoma"/>
        <family val="2"/>
      </rPr>
      <t>Cancellation Rate by Region</t>
    </r>
    <r>
      <rPr>
        <sz val="11"/>
        <color theme="1"/>
        <rFont val="Tahoma"/>
        <family val="2"/>
      </rPr>
      <t xml:space="preserve"> (Cancelled Orders / Total Orders)</t>
    </r>
  </si>
  <si>
    <r>
      <t>●</t>
    </r>
    <r>
      <rPr>
        <sz val="7"/>
        <color theme="1"/>
        <rFont val="Times New Roman"/>
        <family val="1"/>
      </rPr>
      <t xml:space="preserve">     </t>
    </r>
    <r>
      <rPr>
        <sz val="11"/>
        <color theme="1"/>
        <rFont val="Tahoma"/>
        <family val="2"/>
      </rPr>
      <t xml:space="preserve">Add Calculated Field in Pivot: </t>
    </r>
    <r>
      <rPr>
        <b/>
        <sz val="11"/>
        <color theme="1"/>
        <rFont val="Tahoma"/>
        <family val="2"/>
      </rPr>
      <t>Effective Sales</t>
    </r>
    <r>
      <rPr>
        <sz val="11"/>
        <color theme="1"/>
        <rFont val="Tahoma"/>
        <family val="2"/>
      </rPr>
      <t xml:space="preserve"> = Sales Amount for Delivered Orders only</t>
    </r>
  </si>
  <si>
    <t>Delivery performance</t>
  </si>
  <si>
    <t>Fast delivery</t>
  </si>
  <si>
    <t>Total</t>
  </si>
  <si>
    <t>Row Labels</t>
  </si>
  <si>
    <t>North&gt;West&gt;South</t>
  </si>
  <si>
    <t>KPI Cards for:</t>
  </si>
  <si>
    <t>(All)</t>
  </si>
  <si>
    <t>Regionwise Sales</t>
  </si>
  <si>
    <t>DASHBOARD- YEARLY STOCK DATA</t>
  </si>
  <si>
    <t>Total orders</t>
  </si>
  <si>
    <t>TOTAL SALES</t>
  </si>
  <si>
    <t>TOTAL ORDERS</t>
  </si>
  <si>
    <t>TOTAL PRODUCTS</t>
  </si>
  <si>
    <t>FAST DELIVERY %</t>
  </si>
  <si>
    <t>NO OF DELIVERED ORDERS</t>
  </si>
  <si>
    <t>HIGHEST SELLING PRODUCT</t>
  </si>
  <si>
    <t>Fast delivery %</t>
  </si>
  <si>
    <t>Cancellation Rate</t>
  </si>
  <si>
    <t>Total Revenue</t>
  </si>
  <si>
    <t>Count of Order count</t>
  </si>
  <si>
    <t>Creating Pivot Tables</t>
  </si>
  <si>
    <r>
      <t>●</t>
    </r>
    <r>
      <rPr>
        <sz val="7"/>
        <color theme="1"/>
        <rFont val="Times New Roman"/>
        <family val="1"/>
      </rPr>
      <t xml:space="preserve">     </t>
    </r>
    <r>
      <rPr>
        <sz val="11"/>
        <color theme="1"/>
        <rFont val="Tahoma"/>
        <family val="2"/>
      </rPr>
      <t>Show Total Sales Amount by Region and Product Category</t>
    </r>
  </si>
  <si>
    <r>
      <t>●</t>
    </r>
    <r>
      <rPr>
        <sz val="7"/>
        <color theme="1"/>
        <rFont val="Times New Roman"/>
        <family val="1"/>
      </rPr>
      <t xml:space="preserve">     </t>
    </r>
    <r>
      <rPr>
        <sz val="11"/>
        <color theme="1"/>
        <rFont val="Tahoma"/>
        <family val="2"/>
      </rPr>
      <t>Count of Orders by Delivery Status</t>
    </r>
  </si>
  <si>
    <r>
      <t>●</t>
    </r>
    <r>
      <rPr>
        <sz val="7"/>
        <color theme="1"/>
        <rFont val="Times New Roman"/>
        <family val="1"/>
      </rPr>
      <t xml:space="preserve">     </t>
    </r>
    <r>
      <rPr>
        <sz val="11"/>
        <color theme="1"/>
        <rFont val="Tahoma"/>
        <family val="2"/>
      </rPr>
      <t>Average Delivery Time = Delivery Date – Order Date</t>
    </r>
  </si>
  <si>
    <r>
      <t>●</t>
    </r>
    <r>
      <rPr>
        <sz val="7"/>
        <color theme="1"/>
        <rFont val="Times New Roman"/>
        <family val="1"/>
      </rPr>
      <t xml:space="preserve">     </t>
    </r>
    <r>
      <rPr>
        <sz val="11"/>
        <color theme="1"/>
        <rFont val="Tahoma"/>
        <family val="2"/>
      </rPr>
      <t>Add filter for Payment Method and Product Category</t>
    </r>
  </si>
  <si>
    <t>○ Top 3 Performing Regions</t>
  </si>
  <si>
    <t>○  Highest-selling Product</t>
  </si>
  <si>
    <t>○  Total Revenue</t>
  </si>
  <si>
    <t>○   % of Fast Deliveries</t>
  </si>
  <si>
    <t>Column Labels</t>
  </si>
  <si>
    <t>Jan</t>
  </si>
  <si>
    <t>Feb</t>
  </si>
  <si>
    <t>Mar</t>
  </si>
  <si>
    <t>Jun</t>
  </si>
  <si>
    <t>Jul</t>
  </si>
  <si>
    <t>Aug</t>
  </si>
  <si>
    <t>Sep</t>
  </si>
  <si>
    <t>Dec</t>
  </si>
  <si>
    <t>May</t>
  </si>
  <si>
    <t>Oct</t>
  </si>
  <si>
    <t>Nov</t>
  </si>
  <si>
    <t>Apr</t>
  </si>
  <si>
    <t>Qtr1</t>
  </si>
  <si>
    <t>Qtr2</t>
  </si>
  <si>
    <t>Qtr3</t>
  </si>
  <si>
    <t>Qtr4</t>
  </si>
  <si>
    <t>Total Sales</t>
  </si>
  <si>
    <t>DELIVERY STATUS</t>
  </si>
  <si>
    <t>PRODUCT NAME</t>
  </si>
  <si>
    <t>PAYMENT METHOD</t>
  </si>
  <si>
    <t>NO OF CANCELLED ORDERS</t>
  </si>
  <si>
    <t>ORDER ID</t>
  </si>
  <si>
    <t>Select the Order ID below to get the delivery status and payment method of the order</t>
  </si>
  <si>
    <t>●What recommendations would you give to improve delivery performance?</t>
  </si>
  <si>
    <t>●How has the use of XLOOKUP simplified cross-sheet analysis?</t>
  </si>
  <si>
    <t>●How many orders were delivered within 2 days?</t>
  </si>
  <si>
    <t>●Which region has the highest order cancellation rate?</t>
  </si>
  <si>
    <t>●What is the most successful product category in terms of revenue?</t>
  </si>
  <si>
    <t>11 orders</t>
  </si>
  <si>
    <t>XLOOKUP has simplified the cross‑sheet analysis by allowing directly link values between all the sheets  without any issue of the column position. It helped simplify the pivot table creation by just linking the values from one table to another, for example the product name and the product category in the AmazonSales table from the Producttable.</t>
  </si>
  <si>
    <t>Delivery performance can be improved by focusing on low‑performing regions, aligning actuals with goals, monitoring employee achievement %, and addressing weak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</si>
</sst>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sz val="11"/>
      <color theme="1"/>
      <name val="Aptos Narrow"/>
      <family val="2"/>
      <scheme val="minor"/>
    </font>
    <font>
      <sz val="11"/>
      <color theme="1"/>
      <name val="Aptos Narrow"/>
      <family val="2"/>
      <scheme val="minor"/>
    </font>
    <font>
      <b/>
      <sz val="11"/>
      <color theme="1"/>
      <name val="Calibri"/>
      <family val="2"/>
    </font>
    <font>
      <sz val="11"/>
      <color theme="1"/>
      <name val="Calibri"/>
      <family val="2"/>
    </font>
    <font>
      <sz val="11"/>
      <color theme="1"/>
      <name val="Tahoma"/>
      <family val="2"/>
    </font>
    <font>
      <sz val="7"/>
      <color theme="1"/>
      <name val="Times New Roman"/>
      <family val="1"/>
    </font>
    <font>
      <b/>
      <sz val="11"/>
      <color theme="1"/>
      <name val="Tahoma"/>
      <family val="2"/>
    </font>
    <font>
      <b/>
      <sz val="11"/>
      <color theme="1"/>
      <name val="Aptos Narrow"/>
      <family val="2"/>
      <scheme val="minor"/>
    </font>
    <font>
      <b/>
      <sz val="11"/>
      <color theme="8" tint="-0.249977111117893"/>
      <name val="Aptos Narrow"/>
      <family val="2"/>
      <scheme val="minor"/>
    </font>
    <font>
      <b/>
      <sz val="14"/>
      <color theme="8" tint="-0.249977111117893"/>
      <name val="Aptos Narrow"/>
      <family val="2"/>
      <scheme val="minor"/>
    </font>
    <font>
      <b/>
      <sz val="48"/>
      <color theme="9" tint="0.79998168889431442"/>
      <name val="Aptos Narrow"/>
      <family val="2"/>
      <scheme val="minor"/>
    </font>
    <font>
      <b/>
      <sz val="22"/>
      <color theme="8" tint="-0.499984740745262"/>
      <name val="Aptos Narrow"/>
      <family val="2"/>
      <scheme val="minor"/>
    </font>
    <font>
      <b/>
      <sz val="26"/>
      <color theme="8" tint="-0.499984740745262"/>
      <name val="Aptos Narrow"/>
      <family val="2"/>
      <scheme val="minor"/>
    </font>
    <font>
      <b/>
      <sz val="13"/>
      <color rgb="FF000000"/>
      <name val="Tahoma"/>
      <family val="2"/>
    </font>
    <font>
      <sz val="10"/>
      <color theme="0"/>
      <name val="Calibri"/>
      <family val="2"/>
    </font>
    <font>
      <sz val="9"/>
      <color theme="1"/>
      <name val="Aptos Narrow"/>
      <family val="2"/>
      <scheme val="minor"/>
    </font>
    <font>
      <b/>
      <sz val="11"/>
      <name val="Aptos Narrow"/>
      <family val="2"/>
      <scheme val="minor"/>
    </font>
    <font>
      <b/>
      <sz val="16"/>
      <color theme="0"/>
      <name val="Aptos Narrow"/>
      <family val="2"/>
      <scheme val="minor"/>
    </font>
    <font>
      <sz val="11"/>
      <color theme="8" tint="-0.249977111117893"/>
      <name val="Tahoma"/>
      <family val="2"/>
    </font>
    <font>
      <sz val="11"/>
      <color theme="8" tint="-0.249977111117893"/>
      <name val="Aptos Narrow"/>
      <family val="2"/>
      <scheme val="minor"/>
    </font>
    <font>
      <sz val="11"/>
      <color theme="0"/>
      <name val="Tahoma"/>
      <family val="2"/>
    </font>
  </fonts>
  <fills count="9">
    <fill>
      <patternFill patternType="none"/>
    </fill>
    <fill>
      <patternFill patternType="gray125"/>
    </fill>
    <fill>
      <patternFill patternType="solid">
        <fgColor theme="8" tint="-0.249977111117893"/>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8" tint="-0.499984740745262"/>
        <bgColor indexed="64"/>
      </patternFill>
    </fill>
  </fills>
  <borders count="19">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2" fillId="0" borderId="0"/>
  </cellStyleXfs>
  <cellXfs count="113">
    <xf numFmtId="0" fontId="0" fillId="0" borderId="0" xfId="0"/>
    <xf numFmtId="14" fontId="0" fillId="0" borderId="0" xfId="0" applyNumberFormat="1"/>
    <xf numFmtId="0" fontId="0" fillId="0" borderId="0" xfId="0" pivotButton="1"/>
    <xf numFmtId="0" fontId="0" fillId="0" borderId="0" xfId="0" applyAlignment="1">
      <alignment horizontal="left"/>
    </xf>
    <xf numFmtId="0" fontId="3" fillId="0" borderId="1" xfId="1" applyFont="1" applyBorder="1" applyAlignment="1">
      <alignment horizontal="left" vertical="center"/>
    </xf>
    <xf numFmtId="49" fontId="3" fillId="0" borderId="1" xfId="1" applyNumberFormat="1" applyFont="1" applyBorder="1" applyAlignment="1">
      <alignment horizontal="center" vertical="top"/>
    </xf>
    <xf numFmtId="0" fontId="3" fillId="0" borderId="1" xfId="1" applyFont="1" applyBorder="1" applyAlignment="1">
      <alignment horizontal="right" vertical="center"/>
    </xf>
    <xf numFmtId="49" fontId="3" fillId="0" borderId="1" xfId="1" applyNumberFormat="1" applyFont="1" applyBorder="1" applyAlignment="1">
      <alignment horizontal="right" vertical="center"/>
    </xf>
    <xf numFmtId="0" fontId="2" fillId="0" borderId="0" xfId="1"/>
    <xf numFmtId="0" fontId="4" fillId="0" borderId="1" xfId="1" applyFont="1" applyBorder="1" applyAlignment="1">
      <alignment horizontal="left" vertical="center"/>
    </xf>
    <xf numFmtId="14" fontId="4" fillId="0" borderId="1" xfId="1" applyNumberFormat="1" applyFont="1" applyBorder="1"/>
    <xf numFmtId="0" fontId="4" fillId="0" borderId="1" xfId="1" applyFont="1" applyBorder="1" applyAlignment="1">
      <alignment horizontal="right" vertical="center"/>
    </xf>
    <xf numFmtId="0" fontId="1" fillId="0" borderId="1" xfId="1" applyFont="1" applyBorder="1"/>
    <xf numFmtId="0" fontId="4" fillId="0" borderId="0" xfId="1" applyFont="1" applyAlignment="1">
      <alignment horizontal="left"/>
    </xf>
    <xf numFmtId="49" fontId="4" fillId="0" borderId="0" xfId="1" applyNumberFormat="1" applyFont="1"/>
    <xf numFmtId="0" fontId="4" fillId="0" borderId="0" xfId="1" applyFont="1" applyAlignment="1">
      <alignment horizontal="right"/>
    </xf>
    <xf numFmtId="49" fontId="4" fillId="0" borderId="0" xfId="1" applyNumberFormat="1" applyFont="1" applyAlignment="1">
      <alignment horizontal="right"/>
    </xf>
    <xf numFmtId="0" fontId="4" fillId="0" borderId="1" xfId="1" applyFont="1" applyBorder="1" applyAlignment="1">
      <alignment horizontal="left" vertical="center" wrapText="1"/>
    </xf>
    <xf numFmtId="0" fontId="4" fillId="0" borderId="1" xfId="1" applyFont="1" applyBorder="1" applyAlignment="1">
      <alignment horizontal="right" vertical="center" wrapText="1"/>
    </xf>
    <xf numFmtId="0" fontId="1" fillId="0" borderId="0" xfId="1" applyFont="1" applyAlignment="1">
      <alignment vertical="center"/>
    </xf>
    <xf numFmtId="3" fontId="4" fillId="0" borderId="1" xfId="1" applyNumberFormat="1" applyFont="1" applyBorder="1"/>
    <xf numFmtId="0" fontId="4" fillId="0" borderId="2" xfId="1" applyFont="1" applyBorder="1" applyAlignment="1">
      <alignment horizontal="left" vertical="center" wrapText="1"/>
    </xf>
    <xf numFmtId="0" fontId="4" fillId="0" borderId="3" xfId="1" applyFont="1" applyBorder="1" applyAlignment="1">
      <alignment horizontal="left" vertical="center" wrapText="1"/>
    </xf>
    <xf numFmtId="0" fontId="3" fillId="0" borderId="4" xfId="1" applyFont="1" applyBorder="1" applyAlignment="1">
      <alignment horizontal="left" vertical="center" wrapText="1"/>
    </xf>
    <xf numFmtId="0" fontId="3" fillId="0" borderId="5" xfId="1" applyFont="1" applyBorder="1" applyAlignment="1">
      <alignment horizontal="left" vertical="center" wrapText="1"/>
    </xf>
    <xf numFmtId="0" fontId="3" fillId="0" borderId="5" xfId="1" applyFont="1" applyBorder="1" applyAlignment="1">
      <alignment horizontal="right" vertical="center" wrapText="1"/>
    </xf>
    <xf numFmtId="0" fontId="3" fillId="0" borderId="6" xfId="1" applyFont="1" applyBorder="1" applyAlignment="1">
      <alignment horizontal="left" vertical="center" wrapText="1"/>
    </xf>
    <xf numFmtId="0" fontId="4" fillId="0" borderId="7" xfId="1" applyFont="1" applyBorder="1" applyAlignment="1">
      <alignment horizontal="left" vertical="center" wrapText="1"/>
    </xf>
    <xf numFmtId="0" fontId="4" fillId="0" borderId="8" xfId="1" applyFont="1" applyBorder="1" applyAlignment="1">
      <alignment horizontal="left" vertical="center" wrapText="1"/>
    </xf>
    <xf numFmtId="0" fontId="4" fillId="0" borderId="8" xfId="1" applyFont="1" applyBorder="1" applyAlignment="1">
      <alignment horizontal="right" vertical="center" wrapText="1"/>
    </xf>
    <xf numFmtId="0" fontId="4" fillId="0" borderId="9" xfId="1" applyFont="1" applyBorder="1" applyAlignment="1">
      <alignment horizontal="left" vertical="center" wrapText="1"/>
    </xf>
    <xf numFmtId="0" fontId="5" fillId="0" borderId="0" xfId="0" applyFont="1"/>
    <xf numFmtId="0" fontId="5" fillId="0" borderId="0" xfId="0" applyFont="1" applyAlignment="1">
      <alignment horizontal="left" vertical="center"/>
    </xf>
    <xf numFmtId="0" fontId="0" fillId="0" borderId="0" xfId="0" applyAlignment="1">
      <alignment horizontal="center" vertical="center"/>
    </xf>
    <xf numFmtId="2" fontId="0" fillId="0" borderId="0" xfId="0" applyNumberFormat="1" applyAlignment="1">
      <alignment horizontal="center" vertical="center"/>
    </xf>
    <xf numFmtId="0" fontId="4" fillId="0" borderId="0" xfId="0" applyFont="1" applyAlignment="1">
      <alignment horizontal="left"/>
    </xf>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3" fillId="0" borderId="4" xfId="0" applyFont="1" applyBorder="1" applyAlignment="1">
      <alignment horizontal="left" vertical="center" wrapText="1"/>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0" fontId="4" fillId="0" borderId="7" xfId="0" applyFont="1" applyBorder="1" applyAlignment="1">
      <alignment horizontal="left" vertical="center" wrapText="1"/>
    </xf>
    <xf numFmtId="0" fontId="4" fillId="0" borderId="8" xfId="0" applyFont="1" applyBorder="1" applyAlignment="1">
      <alignment horizontal="left" vertical="center" wrapText="1"/>
    </xf>
    <xf numFmtId="0" fontId="4" fillId="0" borderId="9" xfId="0" applyFont="1" applyBorder="1" applyAlignment="1">
      <alignment horizontal="left" vertical="center" wrapText="1"/>
    </xf>
    <xf numFmtId="0" fontId="0" fillId="0" borderId="0" xfId="0" applyAlignment="1">
      <alignment wrapText="1"/>
    </xf>
    <xf numFmtId="0" fontId="0" fillId="0" borderId="0" xfId="0" applyAlignment="1">
      <alignment horizontal="center" vertical="top" wrapText="1"/>
    </xf>
    <xf numFmtId="0" fontId="0" fillId="0" borderId="10" xfId="0" pivotButton="1" applyBorder="1" applyAlignment="1">
      <alignment horizontal="center" vertical="center" wrapText="1"/>
    </xf>
    <xf numFmtId="0" fontId="0" fillId="0" borderId="10" xfId="0" applyBorder="1" applyAlignment="1">
      <alignment horizontal="center" vertical="center" wrapText="1"/>
    </xf>
    <xf numFmtId="0" fontId="0" fillId="0" borderId="10" xfId="0" applyBorder="1" applyAlignment="1">
      <alignment horizontal="left"/>
    </xf>
    <xf numFmtId="10" fontId="0" fillId="0" borderId="10" xfId="0" applyNumberFormat="1" applyBorder="1" applyAlignment="1">
      <alignment horizontal="center" vertical="center"/>
    </xf>
    <xf numFmtId="0" fontId="0" fillId="0" borderId="0" xfId="0" pivotButton="1" applyAlignment="1">
      <alignment horizontal="center" vertical="center" wrapText="1"/>
    </xf>
    <xf numFmtId="0" fontId="0" fillId="0" borderId="0" xfId="0" pivotButton="1" applyAlignment="1">
      <alignment wrapText="1"/>
    </xf>
    <xf numFmtId="0" fontId="0" fillId="0" borderId="0" xfId="0" applyAlignment="1">
      <alignment horizontal="center" vertical="center" wrapText="1"/>
    </xf>
    <xf numFmtId="0" fontId="8" fillId="3" borderId="0" xfId="0" applyFont="1" applyFill="1" applyAlignment="1">
      <alignment horizontal="left"/>
    </xf>
    <xf numFmtId="0" fontId="5" fillId="0" borderId="0" xfId="0" applyFont="1" applyAlignment="1">
      <alignment horizontal="left" vertical="center" indent="6"/>
    </xf>
    <xf numFmtId="0" fontId="0" fillId="4" borderId="0" xfId="0" applyFill="1"/>
    <xf numFmtId="10" fontId="0" fillId="0" borderId="0" xfId="0" applyNumberFormat="1" applyAlignment="1">
      <alignment horizontal="center" vertical="center"/>
    </xf>
    <xf numFmtId="0" fontId="0" fillId="0" borderId="10" xfId="0" applyBorder="1" applyAlignment="1">
      <alignment horizontal="center" vertical="center"/>
    </xf>
    <xf numFmtId="0" fontId="4" fillId="0" borderId="8" xfId="0" applyFont="1" applyBorder="1" applyAlignment="1">
      <alignment horizontal="right" vertical="center" wrapText="1"/>
    </xf>
    <xf numFmtId="3" fontId="13" fillId="0" borderId="0" xfId="0" applyNumberFormat="1" applyFont="1" applyAlignment="1">
      <alignment vertical="center"/>
    </xf>
    <xf numFmtId="0" fontId="13" fillId="4" borderId="0" xfId="0" applyFont="1" applyFill="1" applyAlignment="1">
      <alignment horizontal="center" vertical="center"/>
    </xf>
    <xf numFmtId="3" fontId="13" fillId="4" borderId="0" xfId="0" applyNumberFormat="1" applyFont="1" applyFill="1" applyAlignment="1">
      <alignment horizontal="center" vertical="center"/>
    </xf>
    <xf numFmtId="0" fontId="13" fillId="4" borderId="0" xfId="0" applyFont="1" applyFill="1" applyAlignment="1">
      <alignment vertical="center"/>
    </xf>
    <xf numFmtId="3" fontId="13" fillId="4" borderId="0" xfId="0" applyNumberFormat="1" applyFont="1" applyFill="1" applyAlignment="1">
      <alignment vertical="center"/>
    </xf>
    <xf numFmtId="0" fontId="14" fillId="0" borderId="0" xfId="0" applyFont="1"/>
    <xf numFmtId="0" fontId="14" fillId="0" borderId="0" xfId="0" applyFont="1" applyAlignment="1">
      <alignment vertical="center"/>
    </xf>
    <xf numFmtId="0" fontId="16" fillId="0" borderId="0" xfId="0" pivotButton="1" applyFont="1" applyAlignment="1">
      <alignment horizontal="center" vertical="center" wrapText="1"/>
    </xf>
    <xf numFmtId="4" fontId="10" fillId="0" borderId="0" xfId="0" applyNumberFormat="1" applyFont="1" applyAlignment="1">
      <alignment horizontal="left"/>
    </xf>
    <xf numFmtId="0" fontId="0" fillId="0" borderId="0" xfId="0" applyAlignment="1">
      <alignment horizontal="left" wrapText="1" indent="1"/>
    </xf>
    <xf numFmtId="0" fontId="0" fillId="7" borderId="0" xfId="0" applyFill="1" applyAlignment="1">
      <alignment horizontal="center" vertical="center" wrapText="1"/>
    </xf>
    <xf numFmtId="0" fontId="0" fillId="7" borderId="0" xfId="0" applyFill="1" applyAlignment="1">
      <alignment horizontal="left" wrapText="1"/>
    </xf>
    <xf numFmtId="0" fontId="17" fillId="7" borderId="0" xfId="0" applyFont="1" applyFill="1" applyAlignment="1">
      <alignment horizontal="left" wrapText="1"/>
    </xf>
    <xf numFmtId="0" fontId="17" fillId="7" borderId="0" xfId="0" applyFont="1" applyFill="1" applyAlignment="1">
      <alignment horizontal="center" vertical="center" wrapText="1"/>
    </xf>
    <xf numFmtId="0" fontId="0" fillId="4" borderId="0" xfId="0" applyFill="1" applyAlignment="1">
      <alignment vertical="center"/>
    </xf>
    <xf numFmtId="0" fontId="0" fillId="0" borderId="0" xfId="0" applyAlignment="1">
      <alignment vertical="center"/>
    </xf>
    <xf numFmtId="0" fontId="8" fillId="3" borderId="0" xfId="0" applyFont="1" applyFill="1" applyAlignment="1">
      <alignment horizontal="center" vertical="center" wrapText="1"/>
    </xf>
    <xf numFmtId="0" fontId="5" fillId="0" borderId="0" xfId="0" applyFont="1" applyAlignment="1">
      <alignment vertical="center"/>
    </xf>
    <xf numFmtId="0" fontId="19" fillId="0" borderId="0" xfId="0" applyFont="1" applyAlignment="1">
      <alignment vertical="center"/>
    </xf>
    <xf numFmtId="0" fontId="20" fillId="0" borderId="0" xfId="0" applyFont="1"/>
    <xf numFmtId="0" fontId="21" fillId="8" borderId="0" xfId="0" applyFont="1" applyFill="1" applyAlignment="1">
      <alignment vertical="center"/>
    </xf>
    <xf numFmtId="0" fontId="21" fillId="0" borderId="0" xfId="0" applyFont="1" applyAlignment="1">
      <alignment horizontal="left" vertical="center" wrapText="1"/>
    </xf>
    <xf numFmtId="0" fontId="12" fillId="6" borderId="11" xfId="0" applyFont="1" applyFill="1" applyBorder="1" applyAlignment="1">
      <alignment horizontal="center" vertical="center" wrapText="1"/>
    </xf>
    <xf numFmtId="0" fontId="12" fillId="6" borderId="12" xfId="0" applyFont="1" applyFill="1" applyBorder="1" applyAlignment="1">
      <alignment horizontal="center" vertical="center" wrapText="1"/>
    </xf>
    <xf numFmtId="0" fontId="12" fillId="6" borderId="14" xfId="0" applyFont="1" applyFill="1" applyBorder="1" applyAlignment="1">
      <alignment horizontal="center" vertical="center" wrapText="1"/>
    </xf>
    <xf numFmtId="0" fontId="12" fillId="6" borderId="0" xfId="0" applyFont="1" applyFill="1" applyAlignment="1">
      <alignment horizontal="center" vertical="center" wrapText="1"/>
    </xf>
    <xf numFmtId="0" fontId="12" fillId="6" borderId="16" xfId="0" applyFont="1" applyFill="1" applyBorder="1" applyAlignment="1">
      <alignment horizontal="center" vertical="center" wrapText="1"/>
    </xf>
    <xf numFmtId="0" fontId="12" fillId="6" borderId="17" xfId="0" applyFont="1" applyFill="1" applyBorder="1" applyAlignment="1">
      <alignment horizontal="center" vertical="center" wrapText="1"/>
    </xf>
    <xf numFmtId="0" fontId="12" fillId="5" borderId="13" xfId="0" applyFont="1" applyFill="1" applyBorder="1" applyAlignment="1">
      <alignment horizontal="center" vertical="center" wrapText="1"/>
    </xf>
    <xf numFmtId="0" fontId="12" fillId="5" borderId="15" xfId="0" applyFont="1" applyFill="1" applyBorder="1" applyAlignment="1">
      <alignment horizontal="center" vertical="center" wrapText="1"/>
    </xf>
    <xf numFmtId="0" fontId="12" fillId="5" borderId="18" xfId="0" applyFont="1" applyFill="1" applyBorder="1" applyAlignment="1">
      <alignment horizontal="center" vertical="center" wrapText="1"/>
    </xf>
    <xf numFmtId="0" fontId="18" fillId="2" borderId="0" xfId="0" applyFont="1" applyFill="1" applyAlignment="1">
      <alignment horizontal="left" vertical="center" wrapText="1"/>
    </xf>
    <xf numFmtId="0" fontId="18" fillId="2" borderId="17" xfId="0" applyFont="1" applyFill="1" applyBorder="1" applyAlignment="1">
      <alignment horizontal="left" vertical="center" wrapText="1"/>
    </xf>
    <xf numFmtId="0" fontId="13" fillId="6" borderId="11" xfId="0" applyFont="1" applyFill="1" applyBorder="1" applyAlignment="1">
      <alignment horizontal="center" vertical="center"/>
    </xf>
    <xf numFmtId="0" fontId="13" fillId="6" borderId="12" xfId="0" applyFont="1" applyFill="1" applyBorder="1" applyAlignment="1">
      <alignment horizontal="center" vertical="center"/>
    </xf>
    <xf numFmtId="0" fontId="13" fillId="6" borderId="14" xfId="0" applyFont="1" applyFill="1" applyBorder="1" applyAlignment="1">
      <alignment horizontal="center" vertical="center"/>
    </xf>
    <xf numFmtId="0" fontId="13" fillId="6" borderId="0" xfId="0" applyFont="1" applyFill="1" applyAlignment="1">
      <alignment horizontal="center" vertical="center"/>
    </xf>
    <xf numFmtId="0" fontId="13" fillId="6" borderId="16" xfId="0" applyFont="1" applyFill="1" applyBorder="1" applyAlignment="1">
      <alignment horizontal="center" vertical="center"/>
    </xf>
    <xf numFmtId="0" fontId="13" fillId="6" borderId="17" xfId="0" applyFont="1" applyFill="1" applyBorder="1" applyAlignment="1">
      <alignment horizontal="center" vertical="center"/>
    </xf>
    <xf numFmtId="3" fontId="13" fillId="5" borderId="13" xfId="0" applyNumberFormat="1" applyFont="1" applyFill="1" applyBorder="1" applyAlignment="1">
      <alignment horizontal="center" vertical="center"/>
    </xf>
    <xf numFmtId="3" fontId="13" fillId="5" borderId="15" xfId="0" applyNumberFormat="1" applyFont="1" applyFill="1" applyBorder="1" applyAlignment="1">
      <alignment horizontal="center" vertical="center"/>
    </xf>
    <xf numFmtId="3" fontId="13" fillId="5" borderId="18" xfId="0" applyNumberFormat="1" applyFont="1" applyFill="1" applyBorder="1" applyAlignment="1">
      <alignment horizontal="center" vertical="center"/>
    </xf>
    <xf numFmtId="10" fontId="13" fillId="5" borderId="13" xfId="0" applyNumberFormat="1" applyFont="1" applyFill="1" applyBorder="1" applyAlignment="1">
      <alignment horizontal="center" vertical="center"/>
    </xf>
    <xf numFmtId="10" fontId="13" fillId="5" borderId="15" xfId="0" applyNumberFormat="1" applyFont="1" applyFill="1" applyBorder="1" applyAlignment="1">
      <alignment horizontal="center" vertical="center"/>
    </xf>
    <xf numFmtId="10" fontId="13" fillId="5" borderId="18" xfId="0" applyNumberFormat="1" applyFont="1" applyFill="1" applyBorder="1" applyAlignment="1">
      <alignment horizontal="center" vertical="center"/>
    </xf>
    <xf numFmtId="0" fontId="11" fillId="2" borderId="0" xfId="0" applyFont="1" applyFill="1" applyAlignment="1">
      <alignment horizontal="center" vertical="center"/>
    </xf>
    <xf numFmtId="0" fontId="11" fillId="2" borderId="17" xfId="0" applyFont="1" applyFill="1" applyBorder="1" applyAlignment="1">
      <alignment horizontal="center" vertical="center"/>
    </xf>
    <xf numFmtId="0" fontId="9" fillId="0" borderId="10" xfId="0" applyFont="1" applyBorder="1" applyAlignment="1">
      <alignment horizontal="left"/>
    </xf>
    <xf numFmtId="10" fontId="9" fillId="0" borderId="10" xfId="0" applyNumberFormat="1" applyFont="1" applyBorder="1" applyAlignment="1">
      <alignment horizontal="left"/>
    </xf>
    <xf numFmtId="4" fontId="9" fillId="0" borderId="10" xfId="0" applyNumberFormat="1" applyFont="1" applyBorder="1" applyAlignment="1">
      <alignment horizontal="left"/>
    </xf>
    <xf numFmtId="0" fontId="0" fillId="0" borderId="0" xfId="0"/>
    <xf numFmtId="0" fontId="15" fillId="2" borderId="10" xfId="0" applyFont="1" applyFill="1" applyBorder="1" applyAlignment="1">
      <alignment horizontal="left" vertical="center"/>
    </xf>
    <xf numFmtId="0" fontId="21" fillId="8" borderId="0" xfId="0" applyFont="1" applyFill="1" applyAlignment="1">
      <alignment horizontal="left" vertical="center" wrapText="1"/>
    </xf>
  </cellXfs>
  <cellStyles count="2">
    <cellStyle name="Normal" xfId="0" builtinId="0"/>
    <cellStyle name="Normal 2" xfId="1" xr:uid="{99533F52-ADF8-4AEB-9935-6151CFC25FCB}"/>
  </cellStyles>
  <dxfs count="231">
    <dxf>
      <alignment horizontal="center"/>
    </dxf>
    <dxf>
      <alignment vertical="center"/>
    </dxf>
    <dxf>
      <alignment wrapText="1"/>
    </dxf>
    <dxf>
      <alignment horizontal="center"/>
    </dxf>
    <dxf>
      <alignment horizontal="center"/>
    </dxf>
    <dxf>
      <alignment vertical="center"/>
    </dxf>
    <dxf>
      <alignment vertical="center"/>
    </dxf>
    <dxf>
      <alignment wrapText="1"/>
    </dxf>
    <dxf>
      <alignment wrapText="1"/>
    </dxf>
    <dxf>
      <numFmt numFmtId="14" formatCode="0.00%"/>
    </dxf>
    <dxf>
      <alignment vertic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wrapText="1"/>
    </dxf>
    <dxf>
      <alignment wrapText="1"/>
    </dxf>
    <dxf>
      <alignment wrapText="1"/>
    </dxf>
    <dxf>
      <alignment wrapText="1"/>
    </dxf>
    <dxf>
      <alignment wrapText="1"/>
    </dxf>
    <dxf>
      <fill>
        <patternFill patternType="solid">
          <bgColor theme="8" tint="0.59999389629810485"/>
        </patternFill>
      </fill>
    </dxf>
    <dxf>
      <fill>
        <patternFill patternType="solid">
          <bgColor theme="8" tint="0.59999389629810485"/>
        </patternFill>
      </fill>
    </dxf>
    <dxf>
      <font>
        <b/>
      </font>
    </dxf>
    <dxf>
      <font>
        <b/>
      </font>
    </dxf>
    <dxf>
      <numFmt numFmtId="0" formatCode="General"/>
    </dxf>
    <dxf>
      <alignment horizontal="center"/>
    </dxf>
    <dxf>
      <alignment vertical="center"/>
    </dxf>
    <dxf>
      <alignment wrapText="1"/>
    </dxf>
    <dxf>
      <alignment wrapText="1"/>
    </dxf>
    <dxf>
      <alignment vertical="center"/>
    </dxf>
    <dxf>
      <alignment horizontal="cent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right/>
        <top/>
        <bottom/>
        <vertical/>
      </border>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ont>
        <b/>
      </font>
    </dxf>
    <dxf>
      <font>
        <b/>
      </font>
    </dxf>
    <dxf>
      <font>
        <color auto="1"/>
      </font>
    </dxf>
    <dxf>
      <font>
        <color auto="1"/>
      </font>
    </dxf>
    <dxf>
      <fill>
        <patternFill patternType="solid">
          <fgColor indexed="64"/>
          <bgColor theme="9" tint="0.39997558519241921"/>
        </patternFill>
      </fill>
    </dxf>
    <dxf>
      <fill>
        <patternFill patternType="solid">
          <fgColor indexed="64"/>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9"/>
      </font>
    </dxf>
    <dxf>
      <alignment horizontal="center"/>
    </dxf>
    <dxf>
      <alignment vertical="center"/>
    </dxf>
    <dxf>
      <alignment horizontal="center"/>
    </dxf>
    <dxf>
      <alignment vertical="center"/>
    </dxf>
    <dxf>
      <alignment wrapText="1"/>
    </dxf>
    <dxf>
      <alignment vertical="center"/>
    </dxf>
    <dxf>
      <alignment vertical="center"/>
    </dxf>
    <dxf>
      <alignment horizontal="center"/>
    </dxf>
    <dxf>
      <alignment horizontal="center"/>
    </dxf>
    <dxf>
      <alignment vertical="bottom"/>
    </dxf>
    <dxf>
      <alignment vertical="center"/>
    </dxf>
    <dxf>
      <alignment horizontal="center"/>
    </dxf>
    <dxf>
      <alignment horizontal="center"/>
    </dxf>
    <dxf>
      <alignment horizontal="center"/>
    </dxf>
    <dxf>
      <alignment vertical="center"/>
    </dxf>
    <dxf>
      <numFmt numFmtId="14" formatCode="0.00%"/>
    </dxf>
    <dxf>
      <alignment horizontal="center"/>
    </dxf>
    <dxf>
      <alignment vertical="center"/>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horizontal="center"/>
    </dxf>
    <dxf>
      <alignment horizontal="center"/>
    </dxf>
    <dxf>
      <alignment vertical="center"/>
    </dxf>
    <dxf>
      <alignment wrapText="1"/>
    </dxf>
    <dxf>
      <alignment vertical="center"/>
    </dxf>
    <dxf>
      <alignment horizontal="center"/>
    </dxf>
    <dxf>
      <alignment wrapText="1"/>
    </dxf>
    <dxf>
      <alignment wrapText="1"/>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19" formatCode="dd/mm/yyyy"/>
    </dxf>
    <dxf>
      <numFmt numFmtId="0" formatCode="General"/>
    </dxf>
    <dxf>
      <alignment vertical="center"/>
    </dxf>
    <dxf>
      <alignment horizontal="center"/>
    </dxf>
    <dxf>
      <alignment wrapText="1"/>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vertical="center"/>
    </dxf>
    <dxf>
      <alignment vertical="center"/>
    </dxf>
    <dxf>
      <alignment horizontal="center"/>
    </dxf>
    <dxf>
      <alignment vertical="center"/>
    </dxf>
    <dxf>
      <alignment vertical="center"/>
    </dxf>
    <dxf>
      <alignment horizontal="center"/>
    </dxf>
    <dxf>
      <alignment horizontal="center"/>
    </dxf>
    <dxf>
      <alignment horizontal="center" vertical="center" textRotation="0" wrapText="0" indent="0" justifyLastLine="0" shrinkToFit="0" readingOrder="0"/>
    </dxf>
    <dxf>
      <numFmt numFmtId="0" formatCode="General"/>
    </dxf>
    <dxf>
      <alignment horizontal="center" vertical="center" textRotation="0" wrapText="0" indent="0" justifyLastLine="0" shrinkToFit="0" readingOrder="0"/>
    </dxf>
    <dxf>
      <numFmt numFmtId="0" formatCode="General"/>
    </dxf>
    <dxf>
      <alignment horizontal="center" vertical="center" textRotation="0" wrapText="0" indent="0" justifyLastLine="0" shrinkToFit="0" readingOrder="0"/>
    </dxf>
    <dxf>
      <numFmt numFmtId="0" formatCode="General"/>
    </dxf>
    <dxf>
      <alignment horizontal="center" vertical="center" textRotation="0" wrapText="0" indent="0" justifyLastLine="0" shrinkToFit="0" readingOrder="0"/>
    </dxf>
    <dxf>
      <numFmt numFmtId="0" formatCode="General"/>
    </dxf>
    <dxf>
      <alignment horizontal="center" vertical="center" textRotation="0" wrapText="0" indent="0" justifyLastLine="0" shrinkToFit="0" readingOrder="0"/>
    </dxf>
    <dxf>
      <numFmt numFmtId="0" formatCode="General"/>
    </dxf>
    <dxf>
      <alignment horizontal="center" vertical="center" textRotation="0" wrapText="0" indent="0" justifyLastLine="0" shrinkToFit="0" readingOrder="0"/>
    </dxf>
    <dxf>
      <numFmt numFmtId="0" formatCode="General"/>
    </dxf>
    <dxf>
      <alignment horizontal="center" vertical="center" textRotation="0" wrapText="0" indent="0" justifyLastLine="0" shrinkToFit="0" readingOrder="0"/>
    </dxf>
    <dxf>
      <numFmt numFmtId="0" formatCode="General"/>
    </dxf>
    <dxf>
      <alignment horizontal="center" vertical="center" textRotation="0" wrapText="0" indent="0" justifyLastLine="0" shrinkToFit="0" readingOrder="0"/>
    </dxf>
    <dxf>
      <numFmt numFmtId="0" formatCode="General"/>
    </dxf>
    <dxf>
      <alignment horizontal="center" vertical="center" textRotation="0" wrapText="0" indent="0" justifyLastLine="0" shrinkToFit="0" readingOrder="0"/>
    </dxf>
    <dxf>
      <numFmt numFmtId="0" formatCode="General"/>
    </dxf>
    <dxf>
      <alignment horizontal="center" vertical="center" textRotation="0" wrapText="0" indent="0" justifyLastLine="0" shrinkToFit="0" readingOrder="0"/>
    </dxf>
    <dxf>
      <numFmt numFmtId="0" formatCode="General"/>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dxf>
    <dxf>
      <alignment horizontal="center" vertical="center" textRotation="0" wrapText="0" indent="0" justifyLastLine="0" shrinkToFit="0" readingOrder="0"/>
    </dxf>
    <dxf>
      <numFmt numFmtId="0" formatCode="General"/>
    </dxf>
    <dxf>
      <alignment horizontal="center" vertical="center" textRotation="0" wrapText="0" indent="0" justifyLastLine="0" shrinkToFit="0" readingOrder="0"/>
    </dxf>
    <dxf>
      <numFmt numFmtId="0" formatCode="General"/>
    </dxf>
    <dxf>
      <alignment horizontal="center" vertical="center" textRotation="0" wrapText="0" indent="0" justifyLastLine="0" shrinkToFit="0" readingOrder="0"/>
    </dxf>
    <dxf>
      <numFmt numFmtId="0" formatCode="General"/>
    </dxf>
    <dxf>
      <alignment horizontal="center" vertical="center" textRotation="0" wrapText="0" indent="0" justifyLastLine="0" shrinkToFit="0" readingOrder="0"/>
    </dxf>
    <dxf>
      <numFmt numFmtId="0" formatCode="General"/>
    </dxf>
    <dxf>
      <alignment horizontal="center" vertical="center" textRotation="0" wrapText="0" indent="0" justifyLastLine="0" shrinkToFit="0" readingOrder="0"/>
    </dxf>
    <dxf>
      <numFmt numFmtId="19" formatCode="dd/mm/yyyy"/>
    </dxf>
    <dxf>
      <alignment horizontal="center" vertical="center" textRotation="0" wrapText="0" indent="0" justifyLastLine="0" shrinkToFit="0" readingOrder="0"/>
    </dxf>
    <dxf>
      <numFmt numFmtId="19" formatCode="dd/mm/yyyy"/>
    </dxf>
    <dxf>
      <alignment horizontal="center" vertical="center" textRotation="0" wrapText="0" indent="0" justifyLastLine="0" shrinkToFit="0" readingOrder="0"/>
    </dxf>
    <dxf>
      <numFmt numFmtId="19" formatCode="dd/mm/yyyy"/>
    </dxf>
    <dxf>
      <alignment horizontal="center" vertical="center" textRotation="0" wrapText="0" indent="0" justifyLastLine="0" shrinkToFit="0" readingOrder="0"/>
    </dxf>
    <dxf>
      <numFmt numFmtId="0" formatCode="General"/>
    </dxf>
    <dxf>
      <alignment horizontal="center" vertical="center" textRotation="0" wrapText="0" indent="0" justifyLastLine="0" shrinkToFit="0" readingOrder="0"/>
    </dxf>
    <dxf>
      <numFmt numFmtId="0" formatCode="General"/>
    </dxf>
    <dxf>
      <alignment horizontal="center" vertical="center" textRotation="0" wrapText="0" indent="0" justifyLastLine="0" shrinkToFit="0" readingOrder="0"/>
    </dxf>
    <dxf>
      <alignment horizontal="center" vertical="top"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dxf>
    <dxf>
      <border outline="0">
        <bottom style="thin">
          <color rgb="FF000000"/>
        </bottom>
      </border>
    </dxf>
    <dxf>
      <font>
        <b/>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border diagonalUp="0" diagonalDown="0" outline="0">
        <left style="thin">
          <color rgb="FF000000"/>
        </left>
        <right/>
        <top/>
        <bottom/>
      </border>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right"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alignment horizontal="righ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numFmt numFmtId="0" formatCode="General"/>
      <fill>
        <patternFill patternType="none">
          <fgColor indexed="64"/>
          <bgColor indexed="65"/>
        </patternFill>
      </fill>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protection locked="1" hidden="0"/>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border diagonalUp="0" diagonalDown="0" outline="0">
        <left/>
        <right style="thin">
          <color rgb="FF000000"/>
        </right>
        <top/>
        <bottom/>
      </border>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microsoft.com/office/2007/relationships/slicerCache" Target="slicerCaches/slicerCache2.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microsoft.com/office/2007/relationships/slicerCache" Target="slicerCaches/slicerCache1.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microsoft.com/office/2011/relationships/timelineCache" Target="timelineCaches/timeline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connections" Target="connections.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[4783389-Mini_project-Koonhi_Hazarika.xlsx]Task4!Regionwise table</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Timeline of Regional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pivotFmt>
      <c:pivotFmt>
        <c:idx val="3"/>
        <c:spPr>
          <a:solidFill>
            <a:schemeClr val="accent1"/>
          </a:solidFill>
          <a:ln>
            <a:noFill/>
          </a:ln>
          <a:effectLst/>
        </c:spPr>
        <c:marker>
          <c:symbol val="circle"/>
          <c:size val="5"/>
          <c:spPr>
            <a:solidFill>
              <a:schemeClr val="accent4"/>
            </a:solidFill>
            <a:ln w="9525">
              <a:solidFill>
                <a:schemeClr val="accent4"/>
              </a:solidFill>
            </a:ln>
            <a:effectLst/>
          </c:spPr>
        </c:marker>
      </c:pivotFmt>
      <c:pivotFmt>
        <c:idx val="4"/>
        <c:spPr>
          <a:solidFill>
            <a:schemeClr val="accent1"/>
          </a:solidFill>
          <a:ln>
            <a:noFill/>
          </a:ln>
          <a:effectLst/>
        </c:spPr>
        <c:marker>
          <c:symbol val="circle"/>
          <c:size val="5"/>
          <c:spPr>
            <a:solidFill>
              <a:schemeClr val="accent5"/>
            </a:solidFill>
            <a:ln w="9525">
              <a:solidFill>
                <a:schemeClr val="accent5"/>
              </a:solidFill>
            </a:ln>
            <a:effectLst/>
          </c:spPr>
        </c:marke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1"/>
          </a:solidFill>
          <a:ln>
            <a:noFill/>
          </a:ln>
          <a:effectLst/>
        </c:spPr>
        <c:marker>
          <c:symbol val="none"/>
        </c:marker>
      </c:pivotFmt>
      <c:pivotFmt>
        <c:idx val="43"/>
        <c:spPr>
          <a:solidFill>
            <a:schemeClr val="accent1"/>
          </a:solidFill>
          <a:ln>
            <a:noFill/>
          </a:ln>
          <a:effectLst/>
        </c:spPr>
        <c:marker>
          <c:symbol val="none"/>
        </c:marker>
      </c:pivotFmt>
      <c:pivotFmt>
        <c:idx val="44"/>
        <c:spPr>
          <a:solidFill>
            <a:schemeClr val="accent1"/>
          </a:solidFill>
          <a:ln>
            <a:noFill/>
          </a:ln>
          <a:effectLst/>
        </c:spPr>
        <c:marker>
          <c:symbol val="none"/>
        </c:marker>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80758492782702"/>
          <c:y val="0.15403142913146786"/>
          <c:w val="0.74056784655899577"/>
          <c:h val="0.65019338429690821"/>
        </c:manualLayout>
      </c:layout>
      <c:barChart>
        <c:barDir val="col"/>
        <c:grouping val="clustered"/>
        <c:varyColors val="0"/>
        <c:ser>
          <c:idx val="0"/>
          <c:order val="0"/>
          <c:tx>
            <c:strRef>
              <c:f>Task4!$B$30:$B$31</c:f>
              <c:strCache>
                <c:ptCount val="1"/>
                <c:pt idx="0">
                  <c:v>Central</c:v>
                </c:pt>
              </c:strCache>
            </c:strRef>
          </c:tx>
          <c:spPr>
            <a:solidFill>
              <a:schemeClr val="accent1"/>
            </a:solidFill>
            <a:ln>
              <a:noFill/>
            </a:ln>
            <a:effectLst/>
          </c:spPr>
          <c:invertIfNegative val="0"/>
          <c:cat>
            <c:multiLvlStrRef>
              <c:f>Task4!$A$32:$A$48</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multiLvlStrCache>
            </c:multiLvlStrRef>
          </c:cat>
          <c:val>
            <c:numRef>
              <c:f>Task4!$B$32:$B$48</c:f>
              <c:numCache>
                <c:formatCode>General</c:formatCode>
                <c:ptCount val="12"/>
                <c:pt idx="0">
                  <c:v>170</c:v>
                </c:pt>
                <c:pt idx="1">
                  <c:v>324</c:v>
                </c:pt>
                <c:pt idx="2">
                  <c:v>84</c:v>
                </c:pt>
                <c:pt idx="5">
                  <c:v>2291</c:v>
                </c:pt>
                <c:pt idx="6">
                  <c:v>829</c:v>
                </c:pt>
                <c:pt idx="7">
                  <c:v>315</c:v>
                </c:pt>
                <c:pt idx="8">
                  <c:v>291</c:v>
                </c:pt>
                <c:pt idx="11">
                  <c:v>1152</c:v>
                </c:pt>
              </c:numCache>
            </c:numRef>
          </c:val>
          <c:extLst>
            <c:ext xmlns:c16="http://schemas.microsoft.com/office/drawing/2014/chart" uri="{C3380CC4-5D6E-409C-BE32-E72D297353CC}">
              <c16:uniqueId val="{00000000-ECDA-4408-883A-CCA82DB8E3C0}"/>
            </c:ext>
          </c:extLst>
        </c:ser>
        <c:ser>
          <c:idx val="1"/>
          <c:order val="1"/>
          <c:tx>
            <c:strRef>
              <c:f>Task4!$C$30:$C$31</c:f>
              <c:strCache>
                <c:ptCount val="1"/>
                <c:pt idx="0">
                  <c:v>East</c:v>
                </c:pt>
              </c:strCache>
            </c:strRef>
          </c:tx>
          <c:spPr>
            <a:solidFill>
              <a:schemeClr val="accent2"/>
            </a:solidFill>
            <a:ln>
              <a:noFill/>
            </a:ln>
            <a:effectLst/>
          </c:spPr>
          <c:invertIfNegative val="0"/>
          <c:cat>
            <c:multiLvlStrRef>
              <c:f>Task4!$A$32:$A$48</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multiLvlStrCache>
            </c:multiLvlStrRef>
          </c:cat>
          <c:val>
            <c:numRef>
              <c:f>Task4!$C$32:$C$48</c:f>
              <c:numCache>
                <c:formatCode>General</c:formatCode>
                <c:ptCount val="12"/>
                <c:pt idx="0">
                  <c:v>461</c:v>
                </c:pt>
                <c:pt idx="1">
                  <c:v>1157</c:v>
                </c:pt>
                <c:pt idx="4">
                  <c:v>365</c:v>
                </c:pt>
                <c:pt idx="5">
                  <c:v>118</c:v>
                </c:pt>
                <c:pt idx="6">
                  <c:v>574</c:v>
                </c:pt>
                <c:pt idx="9">
                  <c:v>917</c:v>
                </c:pt>
                <c:pt idx="11">
                  <c:v>43</c:v>
                </c:pt>
              </c:numCache>
            </c:numRef>
          </c:val>
          <c:extLst>
            <c:ext xmlns:c16="http://schemas.microsoft.com/office/drawing/2014/chart" uri="{C3380CC4-5D6E-409C-BE32-E72D297353CC}">
              <c16:uniqueId val="{00000041-ECDA-4408-883A-CCA82DB8E3C0}"/>
            </c:ext>
          </c:extLst>
        </c:ser>
        <c:ser>
          <c:idx val="2"/>
          <c:order val="2"/>
          <c:tx>
            <c:strRef>
              <c:f>Task4!$D$30:$D$31</c:f>
              <c:strCache>
                <c:ptCount val="1"/>
                <c:pt idx="0">
                  <c:v>North</c:v>
                </c:pt>
              </c:strCache>
            </c:strRef>
          </c:tx>
          <c:spPr>
            <a:solidFill>
              <a:schemeClr val="accent3"/>
            </a:solidFill>
            <a:ln>
              <a:noFill/>
            </a:ln>
            <a:effectLst/>
          </c:spPr>
          <c:invertIfNegative val="0"/>
          <c:cat>
            <c:multiLvlStrRef>
              <c:f>Task4!$A$32:$A$48</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multiLvlStrCache>
            </c:multiLvlStrRef>
          </c:cat>
          <c:val>
            <c:numRef>
              <c:f>Task4!$D$32:$D$48</c:f>
              <c:numCache>
                <c:formatCode>General</c:formatCode>
                <c:ptCount val="12"/>
                <c:pt idx="0">
                  <c:v>300</c:v>
                </c:pt>
                <c:pt idx="1">
                  <c:v>2461</c:v>
                </c:pt>
                <c:pt idx="2">
                  <c:v>274</c:v>
                </c:pt>
                <c:pt idx="4">
                  <c:v>588</c:v>
                </c:pt>
                <c:pt idx="5">
                  <c:v>135</c:v>
                </c:pt>
                <c:pt idx="6">
                  <c:v>1096</c:v>
                </c:pt>
                <c:pt idx="7">
                  <c:v>119</c:v>
                </c:pt>
                <c:pt idx="8">
                  <c:v>172</c:v>
                </c:pt>
                <c:pt idx="9">
                  <c:v>124</c:v>
                </c:pt>
                <c:pt idx="10">
                  <c:v>3260</c:v>
                </c:pt>
                <c:pt idx="11">
                  <c:v>1962</c:v>
                </c:pt>
              </c:numCache>
            </c:numRef>
          </c:val>
          <c:extLst>
            <c:ext xmlns:c16="http://schemas.microsoft.com/office/drawing/2014/chart" uri="{C3380CC4-5D6E-409C-BE32-E72D297353CC}">
              <c16:uniqueId val="{00000042-ECDA-4408-883A-CCA82DB8E3C0}"/>
            </c:ext>
          </c:extLst>
        </c:ser>
        <c:ser>
          <c:idx val="3"/>
          <c:order val="3"/>
          <c:tx>
            <c:strRef>
              <c:f>Task4!$E$30:$E$31</c:f>
              <c:strCache>
                <c:ptCount val="1"/>
                <c:pt idx="0">
                  <c:v>South</c:v>
                </c:pt>
              </c:strCache>
            </c:strRef>
          </c:tx>
          <c:spPr>
            <a:solidFill>
              <a:schemeClr val="accent4"/>
            </a:solidFill>
            <a:ln>
              <a:noFill/>
            </a:ln>
            <a:effectLst/>
          </c:spPr>
          <c:invertIfNegative val="0"/>
          <c:cat>
            <c:multiLvlStrRef>
              <c:f>Task4!$A$32:$A$48</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multiLvlStrCache>
            </c:multiLvlStrRef>
          </c:cat>
          <c:val>
            <c:numRef>
              <c:f>Task4!$E$32:$E$48</c:f>
              <c:numCache>
                <c:formatCode>General</c:formatCode>
                <c:ptCount val="12"/>
                <c:pt idx="0">
                  <c:v>270</c:v>
                </c:pt>
                <c:pt idx="1">
                  <c:v>81</c:v>
                </c:pt>
                <c:pt idx="3">
                  <c:v>249</c:v>
                </c:pt>
                <c:pt idx="4">
                  <c:v>462</c:v>
                </c:pt>
                <c:pt idx="5">
                  <c:v>55</c:v>
                </c:pt>
                <c:pt idx="7">
                  <c:v>3555</c:v>
                </c:pt>
                <c:pt idx="8">
                  <c:v>430</c:v>
                </c:pt>
                <c:pt idx="9">
                  <c:v>571</c:v>
                </c:pt>
                <c:pt idx="10">
                  <c:v>908</c:v>
                </c:pt>
                <c:pt idx="11">
                  <c:v>736</c:v>
                </c:pt>
              </c:numCache>
            </c:numRef>
          </c:val>
          <c:extLst>
            <c:ext xmlns:c16="http://schemas.microsoft.com/office/drawing/2014/chart" uri="{C3380CC4-5D6E-409C-BE32-E72D297353CC}">
              <c16:uniqueId val="{00000043-ECDA-4408-883A-CCA82DB8E3C0}"/>
            </c:ext>
          </c:extLst>
        </c:ser>
        <c:ser>
          <c:idx val="4"/>
          <c:order val="4"/>
          <c:tx>
            <c:strRef>
              <c:f>Task4!$F$30:$F$31</c:f>
              <c:strCache>
                <c:ptCount val="1"/>
                <c:pt idx="0">
                  <c:v>West</c:v>
                </c:pt>
              </c:strCache>
            </c:strRef>
          </c:tx>
          <c:spPr>
            <a:solidFill>
              <a:schemeClr val="accent5"/>
            </a:solidFill>
            <a:ln>
              <a:noFill/>
            </a:ln>
            <a:effectLst/>
          </c:spPr>
          <c:invertIfNegative val="0"/>
          <c:cat>
            <c:multiLvlStrRef>
              <c:f>Task4!$A$32:$A$48</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multiLvlStrCache>
            </c:multiLvlStrRef>
          </c:cat>
          <c:val>
            <c:numRef>
              <c:f>Task4!$F$32:$F$48</c:f>
              <c:numCache>
                <c:formatCode>General</c:formatCode>
                <c:ptCount val="12"/>
                <c:pt idx="0">
                  <c:v>952</c:v>
                </c:pt>
                <c:pt idx="1">
                  <c:v>652</c:v>
                </c:pt>
                <c:pt idx="2">
                  <c:v>168</c:v>
                </c:pt>
                <c:pt idx="4">
                  <c:v>390</c:v>
                </c:pt>
                <c:pt idx="6">
                  <c:v>1274</c:v>
                </c:pt>
                <c:pt idx="8">
                  <c:v>1046</c:v>
                </c:pt>
                <c:pt idx="9">
                  <c:v>275</c:v>
                </c:pt>
                <c:pt idx="10">
                  <c:v>2120</c:v>
                </c:pt>
                <c:pt idx="11">
                  <c:v>1482</c:v>
                </c:pt>
              </c:numCache>
            </c:numRef>
          </c:val>
          <c:extLst>
            <c:ext xmlns:c16="http://schemas.microsoft.com/office/drawing/2014/chart" uri="{C3380CC4-5D6E-409C-BE32-E72D297353CC}">
              <c16:uniqueId val="{00000044-ECDA-4408-883A-CCA82DB8E3C0}"/>
            </c:ext>
          </c:extLst>
        </c:ser>
        <c:dLbls>
          <c:showLegendKey val="0"/>
          <c:showVal val="0"/>
          <c:showCatName val="0"/>
          <c:showSerName val="0"/>
          <c:showPercent val="0"/>
          <c:showBubbleSize val="0"/>
        </c:dLbls>
        <c:gapWidth val="219"/>
        <c:overlap val="-27"/>
        <c:axId val="1989467759"/>
        <c:axId val="1989461999"/>
      </c:barChart>
      <c:catAx>
        <c:axId val="1989467759"/>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IN" sz="1200"/>
                  <a:t>Timeline-Region</a:t>
                </a:r>
              </a:p>
            </c:rich>
          </c:tx>
          <c:layout>
            <c:manualLayout>
              <c:xMode val="edge"/>
              <c:yMode val="edge"/>
              <c:x val="0.45560814376338843"/>
              <c:y val="0.90674842801034039"/>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461999"/>
        <c:crosses val="autoZero"/>
        <c:auto val="1"/>
        <c:lblAlgn val="ctr"/>
        <c:lblOffset val="100"/>
        <c:noMultiLvlLbl val="0"/>
      </c:catAx>
      <c:valAx>
        <c:axId val="19894619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p>
            </c:rich>
          </c:tx>
          <c:layout>
            <c:manualLayout>
              <c:xMode val="edge"/>
              <c:yMode val="edge"/>
              <c:x val="1.6889532773197984E-2"/>
              <c:y val="0.4501039829037763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467759"/>
        <c:crosses val="autoZero"/>
        <c:crossBetween val="between"/>
      </c:valAx>
      <c:spPr>
        <a:noFill/>
        <a:ln>
          <a:noFill/>
        </a:ln>
        <a:effectLst/>
      </c:spPr>
    </c:plotArea>
    <c:legend>
      <c:legendPos val="r"/>
      <c:layout>
        <c:manualLayout>
          <c:xMode val="edge"/>
          <c:yMode val="edge"/>
          <c:x val="0.84336582822369333"/>
          <c:y val="0.20035473707863016"/>
          <c:w val="0.1488405132300625"/>
          <c:h val="0.269900176412374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[4783389-Mini_project-Koonhi_Hazarika.xlsx]Task4!Salestable</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Regional</a:t>
            </a:r>
            <a:r>
              <a:rPr lang="en-IN" baseline="0"/>
              <a:t> Sales Breakdown</a:t>
            </a:r>
            <a:endParaRPr lang="en-IN"/>
          </a:p>
        </c:rich>
      </c:tx>
      <c:layout>
        <c:manualLayout>
          <c:xMode val="edge"/>
          <c:yMode val="edge"/>
          <c:x val="0.2906681332121791"/>
          <c:y val="6.00505722965690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00B0F0">
              <a:alpha val="99000"/>
            </a:srgbClr>
          </a:solidFill>
          <a:ln w="0">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pivotFmt>
      <c:pivotFmt>
        <c:idx val="6"/>
        <c:spPr>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B0F0">
              <a:alpha val="99000"/>
            </a:srgbClr>
          </a:solidFill>
          <a:ln w="0">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0000"/>
          </a:solidFill>
          <a:ln>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lumMod val="75000"/>
            </a:schemeClr>
          </a:solidFill>
          <a:ln>
            <a:noFill/>
          </a:ln>
          <a:effectLst/>
        </c:spPr>
      </c:pivotFmt>
      <c:pivotFmt>
        <c:idx val="12"/>
        <c:spPr>
          <a:solidFill>
            <a:schemeClr val="accent1"/>
          </a:solidFill>
          <a:ln w="28575"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00B0F0">
              <a:alpha val="99000"/>
            </a:srgbClr>
          </a:solidFill>
          <a:ln w="0">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FF0000"/>
          </a:solidFill>
          <a:ln>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lumMod val="75000"/>
            </a:schemeClr>
          </a:solidFill>
          <a:ln>
            <a:noFill/>
          </a:ln>
          <a:effectLst/>
        </c:spPr>
      </c:pivotFmt>
      <c:pivotFmt>
        <c:idx val="19"/>
        <c:spPr>
          <a:ln w="28575"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6817605477224"/>
          <c:y val="0.18961874327933675"/>
          <c:w val="0.56453759215006016"/>
          <c:h val="0.66019459571958794"/>
        </c:manualLayout>
      </c:layout>
      <c:areaChart>
        <c:grouping val="stacked"/>
        <c:varyColors val="0"/>
        <c:ser>
          <c:idx val="5"/>
          <c:order val="5"/>
          <c:tx>
            <c:strRef>
              <c:f>Task4!$G$4</c:f>
              <c:strCache>
                <c:ptCount val="1"/>
                <c:pt idx="0">
                  <c:v>Total Sales</c:v>
                </c:pt>
              </c:strCache>
            </c:strRef>
          </c:tx>
          <c:spPr>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a:noFill/>
            </a:ln>
            <a:effectLst/>
          </c:spPr>
          <c:cat>
            <c:strRef>
              <c:f>Task4!$A$5:$A$10</c:f>
              <c:strCache>
                <c:ptCount val="5"/>
                <c:pt idx="0">
                  <c:v>Central</c:v>
                </c:pt>
                <c:pt idx="1">
                  <c:v>East</c:v>
                </c:pt>
                <c:pt idx="2">
                  <c:v>North</c:v>
                </c:pt>
                <c:pt idx="3">
                  <c:v>South</c:v>
                </c:pt>
                <c:pt idx="4">
                  <c:v>West</c:v>
                </c:pt>
              </c:strCache>
            </c:strRef>
          </c:cat>
          <c:val>
            <c:numRef>
              <c:f>Task4!$G$5:$G$10</c:f>
              <c:numCache>
                <c:formatCode>General</c:formatCode>
                <c:ptCount val="5"/>
                <c:pt idx="0">
                  <c:v>5456</c:v>
                </c:pt>
                <c:pt idx="1">
                  <c:v>3635</c:v>
                </c:pt>
                <c:pt idx="2">
                  <c:v>10491</c:v>
                </c:pt>
                <c:pt idx="3">
                  <c:v>7317</c:v>
                </c:pt>
                <c:pt idx="4">
                  <c:v>8359</c:v>
                </c:pt>
              </c:numCache>
            </c:numRef>
          </c:val>
          <c:extLst>
            <c:ext xmlns:c16="http://schemas.microsoft.com/office/drawing/2014/chart" uri="{C3380CC4-5D6E-409C-BE32-E72D297353CC}">
              <c16:uniqueId val="{00000000-7FF5-40BA-BC48-9775DB5C6992}"/>
            </c:ext>
          </c:extLst>
        </c:ser>
        <c:dLbls>
          <c:showLegendKey val="0"/>
          <c:showVal val="0"/>
          <c:showCatName val="0"/>
          <c:showSerName val="0"/>
          <c:showPercent val="0"/>
          <c:showBubbleSize val="0"/>
        </c:dLbls>
        <c:axId val="943510479"/>
        <c:axId val="1837118351"/>
      </c:areaChart>
      <c:barChart>
        <c:barDir val="col"/>
        <c:grouping val="clustered"/>
        <c:varyColors val="0"/>
        <c:ser>
          <c:idx val="0"/>
          <c:order val="0"/>
          <c:tx>
            <c:strRef>
              <c:f>Task4!$B$4</c:f>
              <c:strCache>
                <c:ptCount val="1"/>
                <c:pt idx="0">
                  <c:v>Total Orders</c:v>
                </c:pt>
              </c:strCache>
            </c:strRef>
          </c:tx>
          <c:spPr>
            <a:solidFill>
              <a:srgbClr val="00B0F0">
                <a:alpha val="99000"/>
              </a:srgbClr>
            </a:solidFill>
            <a:ln w="0">
              <a:solidFill>
                <a:schemeClr val="accent2"/>
              </a:solidFill>
            </a:ln>
            <a:effectLst/>
          </c:spPr>
          <c:invertIfNegative val="0"/>
          <c:cat>
            <c:strRef>
              <c:f>Task4!$A$5:$A$10</c:f>
              <c:strCache>
                <c:ptCount val="5"/>
                <c:pt idx="0">
                  <c:v>Central</c:v>
                </c:pt>
                <c:pt idx="1">
                  <c:v>East</c:v>
                </c:pt>
                <c:pt idx="2">
                  <c:v>North</c:v>
                </c:pt>
                <c:pt idx="3">
                  <c:v>South</c:v>
                </c:pt>
                <c:pt idx="4">
                  <c:v>West</c:v>
                </c:pt>
              </c:strCache>
            </c:strRef>
          </c:cat>
          <c:val>
            <c:numRef>
              <c:f>Task4!$B$5:$B$10</c:f>
              <c:numCache>
                <c:formatCode>General</c:formatCode>
                <c:ptCount val="5"/>
                <c:pt idx="0">
                  <c:v>14</c:v>
                </c:pt>
                <c:pt idx="1">
                  <c:v>18</c:v>
                </c:pt>
                <c:pt idx="2">
                  <c:v>25</c:v>
                </c:pt>
                <c:pt idx="3">
                  <c:v>20</c:v>
                </c:pt>
                <c:pt idx="4">
                  <c:v>23</c:v>
                </c:pt>
              </c:numCache>
            </c:numRef>
          </c:val>
          <c:extLst>
            <c:ext xmlns:c16="http://schemas.microsoft.com/office/drawing/2014/chart" uri="{C3380CC4-5D6E-409C-BE32-E72D297353CC}">
              <c16:uniqueId val="{00000001-7FF5-40BA-BC48-9775DB5C6992}"/>
            </c:ext>
          </c:extLst>
        </c:ser>
        <c:ser>
          <c:idx val="1"/>
          <c:order val="1"/>
          <c:tx>
            <c:strRef>
              <c:f>Task4!$C$4</c:f>
              <c:strCache>
                <c:ptCount val="1"/>
                <c:pt idx="0">
                  <c:v>Cancelled Orders</c:v>
                </c:pt>
              </c:strCache>
            </c:strRef>
          </c:tx>
          <c:spPr>
            <a:solidFill>
              <a:srgbClr val="FF0000"/>
            </a:solidFill>
            <a:ln>
              <a:solidFill>
                <a:schemeClr val="accent2"/>
              </a:solidFill>
            </a:ln>
            <a:effectLst/>
          </c:spPr>
          <c:invertIfNegative val="0"/>
          <c:cat>
            <c:strRef>
              <c:f>Task4!$A$5:$A$10</c:f>
              <c:strCache>
                <c:ptCount val="5"/>
                <c:pt idx="0">
                  <c:v>Central</c:v>
                </c:pt>
                <c:pt idx="1">
                  <c:v>East</c:v>
                </c:pt>
                <c:pt idx="2">
                  <c:v>North</c:v>
                </c:pt>
                <c:pt idx="3">
                  <c:v>South</c:v>
                </c:pt>
                <c:pt idx="4">
                  <c:v>West</c:v>
                </c:pt>
              </c:strCache>
            </c:strRef>
          </c:cat>
          <c:val>
            <c:numRef>
              <c:f>Task4!$C$5:$C$10</c:f>
              <c:numCache>
                <c:formatCode>General</c:formatCode>
                <c:ptCount val="5"/>
                <c:pt idx="0">
                  <c:v>5</c:v>
                </c:pt>
                <c:pt idx="1">
                  <c:v>3</c:v>
                </c:pt>
                <c:pt idx="2">
                  <c:v>10</c:v>
                </c:pt>
                <c:pt idx="3">
                  <c:v>4</c:v>
                </c:pt>
                <c:pt idx="4">
                  <c:v>8</c:v>
                </c:pt>
              </c:numCache>
            </c:numRef>
          </c:val>
          <c:extLst>
            <c:ext xmlns:c16="http://schemas.microsoft.com/office/drawing/2014/chart" uri="{C3380CC4-5D6E-409C-BE32-E72D297353CC}">
              <c16:uniqueId val="{00000002-7FF5-40BA-BC48-9775DB5C6992}"/>
            </c:ext>
          </c:extLst>
        </c:ser>
        <c:ser>
          <c:idx val="2"/>
          <c:order val="2"/>
          <c:tx>
            <c:strRef>
              <c:f>Task4!$D$4</c:f>
              <c:strCache>
                <c:ptCount val="1"/>
                <c:pt idx="0">
                  <c:v>Delivered Orders</c:v>
                </c:pt>
              </c:strCache>
            </c:strRef>
          </c:tx>
          <c:spPr>
            <a:solidFill>
              <a:schemeClr val="accent3"/>
            </a:solidFill>
            <a:ln>
              <a:noFill/>
            </a:ln>
            <a:effectLst/>
          </c:spPr>
          <c:invertIfNegative val="0"/>
          <c:dPt>
            <c:idx val="4"/>
            <c:invertIfNegative val="0"/>
            <c:bubble3D val="0"/>
            <c:spPr>
              <a:solidFill>
                <a:schemeClr val="accent6">
                  <a:lumMod val="75000"/>
                </a:schemeClr>
              </a:solidFill>
              <a:ln>
                <a:noFill/>
              </a:ln>
              <a:effectLst/>
            </c:spPr>
            <c:extLst>
              <c:ext xmlns:c16="http://schemas.microsoft.com/office/drawing/2014/chart" uri="{C3380CC4-5D6E-409C-BE32-E72D297353CC}">
                <c16:uniqueId val="{00000004-7FF5-40BA-BC48-9775DB5C6992}"/>
              </c:ext>
            </c:extLst>
          </c:dPt>
          <c:cat>
            <c:strRef>
              <c:f>Task4!$A$5:$A$10</c:f>
              <c:strCache>
                <c:ptCount val="5"/>
                <c:pt idx="0">
                  <c:v>Central</c:v>
                </c:pt>
                <c:pt idx="1">
                  <c:v>East</c:v>
                </c:pt>
                <c:pt idx="2">
                  <c:v>North</c:v>
                </c:pt>
                <c:pt idx="3">
                  <c:v>South</c:v>
                </c:pt>
                <c:pt idx="4">
                  <c:v>West</c:v>
                </c:pt>
              </c:strCache>
            </c:strRef>
          </c:cat>
          <c:val>
            <c:numRef>
              <c:f>Task4!$D$5:$D$10</c:f>
              <c:numCache>
                <c:formatCode>General</c:formatCode>
                <c:ptCount val="5"/>
                <c:pt idx="0">
                  <c:v>5</c:v>
                </c:pt>
                <c:pt idx="1">
                  <c:v>8</c:v>
                </c:pt>
                <c:pt idx="2">
                  <c:v>8</c:v>
                </c:pt>
                <c:pt idx="3">
                  <c:v>6</c:v>
                </c:pt>
                <c:pt idx="4">
                  <c:v>7</c:v>
                </c:pt>
              </c:numCache>
            </c:numRef>
          </c:val>
          <c:extLst>
            <c:ext xmlns:c16="http://schemas.microsoft.com/office/drawing/2014/chart" uri="{C3380CC4-5D6E-409C-BE32-E72D297353CC}">
              <c16:uniqueId val="{00000005-7FF5-40BA-BC48-9775DB5C6992}"/>
            </c:ext>
          </c:extLst>
        </c:ser>
        <c:dLbls>
          <c:showLegendKey val="0"/>
          <c:showVal val="0"/>
          <c:showCatName val="0"/>
          <c:showSerName val="0"/>
          <c:showPercent val="0"/>
          <c:showBubbleSize val="0"/>
        </c:dLbls>
        <c:gapWidth val="219"/>
        <c:overlap val="-37"/>
        <c:axId val="1256600896"/>
        <c:axId val="1256604256"/>
      </c:barChart>
      <c:lineChart>
        <c:grouping val="standard"/>
        <c:varyColors val="0"/>
        <c:ser>
          <c:idx val="3"/>
          <c:order val="3"/>
          <c:tx>
            <c:strRef>
              <c:f>Task4!$E$4</c:f>
              <c:strCache>
                <c:ptCount val="1"/>
                <c:pt idx="0">
                  <c:v>Effective Sales</c:v>
                </c:pt>
              </c:strCache>
            </c:strRef>
          </c:tx>
          <c:spPr>
            <a:ln w="28575" cap="rnd">
              <a:solidFill>
                <a:schemeClr val="accent4">
                  <a:lumMod val="50000"/>
                </a:schemeClr>
              </a:solidFill>
              <a:round/>
            </a:ln>
            <a:effectLst/>
          </c:spPr>
          <c:marker>
            <c:symbol val="none"/>
          </c:marker>
          <c:cat>
            <c:strRef>
              <c:f>Task4!$A$5:$A$10</c:f>
              <c:strCache>
                <c:ptCount val="5"/>
                <c:pt idx="0">
                  <c:v>Central</c:v>
                </c:pt>
                <c:pt idx="1">
                  <c:v>East</c:v>
                </c:pt>
                <c:pt idx="2">
                  <c:v>North</c:v>
                </c:pt>
                <c:pt idx="3">
                  <c:v>South</c:v>
                </c:pt>
                <c:pt idx="4">
                  <c:v>West</c:v>
                </c:pt>
              </c:strCache>
            </c:strRef>
          </c:cat>
          <c:val>
            <c:numRef>
              <c:f>Task4!$E$5:$E$10</c:f>
              <c:numCache>
                <c:formatCode>General</c:formatCode>
                <c:ptCount val="5"/>
                <c:pt idx="0">
                  <c:v>3010</c:v>
                </c:pt>
                <c:pt idx="1">
                  <c:v>1842</c:v>
                </c:pt>
                <c:pt idx="2">
                  <c:v>4075</c:v>
                </c:pt>
                <c:pt idx="3">
                  <c:v>1063</c:v>
                </c:pt>
                <c:pt idx="4">
                  <c:v>3666</c:v>
                </c:pt>
              </c:numCache>
            </c:numRef>
          </c:val>
          <c:smooth val="0"/>
          <c:extLst>
            <c:ext xmlns:c16="http://schemas.microsoft.com/office/drawing/2014/chart" uri="{C3380CC4-5D6E-409C-BE32-E72D297353CC}">
              <c16:uniqueId val="{00000006-7FF5-40BA-BC48-9775DB5C6992}"/>
            </c:ext>
          </c:extLst>
        </c:ser>
        <c:ser>
          <c:idx val="4"/>
          <c:order val="4"/>
          <c:tx>
            <c:strRef>
              <c:f>Task4!$F$4</c:f>
              <c:strCache>
                <c:ptCount val="1"/>
                <c:pt idx="0">
                  <c:v>Cancellation Rate</c:v>
                </c:pt>
              </c:strCache>
            </c:strRef>
          </c:tx>
          <c:spPr>
            <a:ln w="28575" cap="rnd">
              <a:solidFill>
                <a:schemeClr val="accent5"/>
              </a:solidFill>
              <a:round/>
            </a:ln>
            <a:effectLst/>
          </c:spPr>
          <c:marker>
            <c:symbol val="none"/>
          </c:marker>
          <c:cat>
            <c:strRef>
              <c:f>Task4!$A$5:$A$10</c:f>
              <c:strCache>
                <c:ptCount val="5"/>
                <c:pt idx="0">
                  <c:v>Central</c:v>
                </c:pt>
                <c:pt idx="1">
                  <c:v>East</c:v>
                </c:pt>
                <c:pt idx="2">
                  <c:v>North</c:v>
                </c:pt>
                <c:pt idx="3">
                  <c:v>South</c:v>
                </c:pt>
                <c:pt idx="4">
                  <c:v>West</c:v>
                </c:pt>
              </c:strCache>
            </c:strRef>
          </c:cat>
          <c:val>
            <c:numRef>
              <c:f>Task4!$F$5:$F$10</c:f>
              <c:numCache>
                <c:formatCode>0.00%</c:formatCode>
                <c:ptCount val="5"/>
                <c:pt idx="0">
                  <c:v>0.35714285714285715</c:v>
                </c:pt>
                <c:pt idx="1">
                  <c:v>0.16666666666666666</c:v>
                </c:pt>
                <c:pt idx="2">
                  <c:v>0.4</c:v>
                </c:pt>
                <c:pt idx="3">
                  <c:v>0.2</c:v>
                </c:pt>
                <c:pt idx="4">
                  <c:v>0.34782608695652173</c:v>
                </c:pt>
              </c:numCache>
            </c:numRef>
          </c:val>
          <c:smooth val="0"/>
          <c:extLst>
            <c:ext xmlns:c16="http://schemas.microsoft.com/office/drawing/2014/chart" uri="{C3380CC4-5D6E-409C-BE32-E72D297353CC}">
              <c16:uniqueId val="{00000007-7FF5-40BA-BC48-9775DB5C6992}"/>
            </c:ext>
          </c:extLst>
        </c:ser>
        <c:dLbls>
          <c:showLegendKey val="0"/>
          <c:showVal val="0"/>
          <c:showCatName val="0"/>
          <c:showSerName val="0"/>
          <c:showPercent val="0"/>
          <c:showBubbleSize val="0"/>
        </c:dLbls>
        <c:marker val="1"/>
        <c:smooth val="0"/>
        <c:axId val="943510479"/>
        <c:axId val="1837118351"/>
      </c:lineChart>
      <c:catAx>
        <c:axId val="9435104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a:t>Region</a:t>
                </a:r>
                <a:endParaRPr lang="en-IN"/>
              </a:p>
            </c:rich>
          </c:tx>
          <c:layout>
            <c:manualLayout>
              <c:xMode val="edge"/>
              <c:yMode val="edge"/>
              <c:x val="0.36591928385857447"/>
              <c:y val="0.90245174130216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7118351"/>
        <c:crosses val="autoZero"/>
        <c:auto val="1"/>
        <c:lblAlgn val="ctr"/>
        <c:lblOffset val="100"/>
        <c:noMultiLvlLbl val="0"/>
      </c:catAx>
      <c:valAx>
        <c:axId val="18371183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a:t>Sales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3510479"/>
        <c:crosses val="autoZero"/>
        <c:crossBetween val="between"/>
      </c:valAx>
      <c:valAx>
        <c:axId val="1256604256"/>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a:t>Orders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600896"/>
        <c:crosses val="max"/>
        <c:crossBetween val="between"/>
      </c:valAx>
      <c:catAx>
        <c:axId val="1256600896"/>
        <c:scaling>
          <c:orientation val="minMax"/>
        </c:scaling>
        <c:delete val="1"/>
        <c:axPos val="b"/>
        <c:numFmt formatCode="General" sourceLinked="1"/>
        <c:majorTickMark val="out"/>
        <c:minorTickMark val="none"/>
        <c:tickLblPos val="nextTo"/>
        <c:crossAx val="1256604256"/>
        <c:crosses val="autoZero"/>
        <c:auto val="1"/>
        <c:lblAlgn val="ctr"/>
        <c:lblOffset val="100"/>
        <c:noMultiLvlLbl val="0"/>
      </c:catAx>
      <c:spPr>
        <a:noFill/>
        <a:ln>
          <a:noFill/>
        </a:ln>
        <a:effectLst/>
      </c:spPr>
    </c:plotArea>
    <c:legend>
      <c:legendPos val="r"/>
      <c:layout>
        <c:manualLayout>
          <c:xMode val="edge"/>
          <c:yMode val="edge"/>
          <c:x val="0.77218094763078959"/>
          <c:y val="0.37652775850705889"/>
          <c:w val="0.21509948968179723"/>
          <c:h val="0.43441694994623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[4783389-Mini_project-Koonhi_Hazarika.xlsx]Task4!order status table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Category-Order Status</a:t>
            </a:r>
            <a:endParaRPr lang="en-US"/>
          </a:p>
        </c:rich>
      </c:tx>
      <c:layout>
        <c:manualLayout>
          <c:xMode val="edge"/>
          <c:yMode val="edge"/>
          <c:x val="0.35046037735849056"/>
          <c:y val="8.16453966360301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s>
    <c:plotArea>
      <c:layout/>
      <c:pieChart>
        <c:varyColors val="1"/>
        <c:ser>
          <c:idx val="0"/>
          <c:order val="0"/>
          <c:tx>
            <c:strRef>
              <c:f>Task4!$B$51:$B$52</c:f>
              <c:strCache>
                <c:ptCount val="1"/>
                <c:pt idx="0">
                  <c:v>Cancelled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EE4-4273-9AEC-05263954C03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EE4-4273-9AEC-05263954C03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EE4-4273-9AEC-05263954C03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EE4-4273-9AEC-05263954C03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EE4-4273-9AEC-05263954C034}"/>
              </c:ext>
            </c:extLst>
          </c:dPt>
          <c:dLbls>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Task4!$A$53:$A$58</c:f>
              <c:strCache>
                <c:ptCount val="5"/>
                <c:pt idx="0">
                  <c:v>Books</c:v>
                </c:pt>
                <c:pt idx="1">
                  <c:v>Electronics</c:v>
                </c:pt>
                <c:pt idx="2">
                  <c:v>Fashion</c:v>
                </c:pt>
                <c:pt idx="3">
                  <c:v>Home</c:v>
                </c:pt>
                <c:pt idx="4">
                  <c:v>Toys</c:v>
                </c:pt>
              </c:strCache>
            </c:strRef>
          </c:cat>
          <c:val>
            <c:numRef>
              <c:f>Task4!$B$53:$B$58</c:f>
              <c:numCache>
                <c:formatCode>General</c:formatCode>
                <c:ptCount val="5"/>
                <c:pt idx="0">
                  <c:v>3</c:v>
                </c:pt>
                <c:pt idx="1">
                  <c:v>4</c:v>
                </c:pt>
                <c:pt idx="2">
                  <c:v>10</c:v>
                </c:pt>
                <c:pt idx="3">
                  <c:v>7</c:v>
                </c:pt>
                <c:pt idx="4">
                  <c:v>6</c:v>
                </c:pt>
              </c:numCache>
            </c:numRef>
          </c:val>
          <c:extLst>
            <c:ext xmlns:c16="http://schemas.microsoft.com/office/drawing/2014/chart" uri="{C3380CC4-5D6E-409C-BE32-E72D297353CC}">
              <c16:uniqueId val="{0000000A-EEE4-4273-9AEC-05263954C034}"/>
            </c:ext>
          </c:extLst>
        </c:ser>
        <c:ser>
          <c:idx val="1"/>
          <c:order val="1"/>
          <c:tx>
            <c:strRef>
              <c:f>Task4!$C$51:$C$52</c:f>
              <c:strCache>
                <c:ptCount val="1"/>
                <c:pt idx="0">
                  <c:v>Delivered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7C92-4C3A-BEE3-AA89E82F964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7C92-4C3A-BEE3-AA89E82F964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F-7C92-4C3A-BEE3-AA89E82F964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1-7C92-4C3A-BEE3-AA89E82F964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3-7C92-4C3A-BEE3-AA89E82F964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Task4!$A$53:$A$58</c:f>
              <c:strCache>
                <c:ptCount val="5"/>
                <c:pt idx="0">
                  <c:v>Books</c:v>
                </c:pt>
                <c:pt idx="1">
                  <c:v>Electronics</c:v>
                </c:pt>
                <c:pt idx="2">
                  <c:v>Fashion</c:v>
                </c:pt>
                <c:pt idx="3">
                  <c:v>Home</c:v>
                </c:pt>
                <c:pt idx="4">
                  <c:v>Toys</c:v>
                </c:pt>
              </c:strCache>
            </c:strRef>
          </c:cat>
          <c:val>
            <c:numRef>
              <c:f>Task4!$C$53:$C$58</c:f>
              <c:numCache>
                <c:formatCode>General</c:formatCode>
                <c:ptCount val="5"/>
                <c:pt idx="0">
                  <c:v>3</c:v>
                </c:pt>
                <c:pt idx="1">
                  <c:v>6</c:v>
                </c:pt>
                <c:pt idx="2">
                  <c:v>10</c:v>
                </c:pt>
                <c:pt idx="3">
                  <c:v>7</c:v>
                </c:pt>
                <c:pt idx="4">
                  <c:v>8</c:v>
                </c:pt>
              </c:numCache>
            </c:numRef>
          </c:val>
          <c:extLst>
            <c:ext xmlns:c16="http://schemas.microsoft.com/office/drawing/2014/chart" uri="{C3380CC4-5D6E-409C-BE32-E72D297353CC}">
              <c16:uniqueId val="{00000035-EEE4-4273-9AEC-05263954C034}"/>
            </c:ext>
          </c:extLst>
        </c:ser>
        <c:ser>
          <c:idx val="2"/>
          <c:order val="2"/>
          <c:tx>
            <c:strRef>
              <c:f>Task4!$D$51:$D$52</c:f>
              <c:strCache>
                <c:ptCount val="1"/>
                <c:pt idx="0">
                  <c:v>In Transit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5-7C92-4C3A-BEE3-AA89E82F964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7-7C92-4C3A-BEE3-AA89E82F964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9-7C92-4C3A-BEE3-AA89E82F964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B-7C92-4C3A-BEE3-AA89E82F964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D-7C92-4C3A-BEE3-AA89E82F964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Task4!$A$53:$A$58</c:f>
              <c:strCache>
                <c:ptCount val="5"/>
                <c:pt idx="0">
                  <c:v>Books</c:v>
                </c:pt>
                <c:pt idx="1">
                  <c:v>Electronics</c:v>
                </c:pt>
                <c:pt idx="2">
                  <c:v>Fashion</c:v>
                </c:pt>
                <c:pt idx="3">
                  <c:v>Home</c:v>
                </c:pt>
                <c:pt idx="4">
                  <c:v>Toys</c:v>
                </c:pt>
              </c:strCache>
            </c:strRef>
          </c:cat>
          <c:val>
            <c:numRef>
              <c:f>Task4!$D$53:$D$58</c:f>
              <c:numCache>
                <c:formatCode>General</c:formatCode>
                <c:ptCount val="5"/>
                <c:pt idx="0">
                  <c:v>7</c:v>
                </c:pt>
                <c:pt idx="1">
                  <c:v>7</c:v>
                </c:pt>
                <c:pt idx="2">
                  <c:v>7</c:v>
                </c:pt>
                <c:pt idx="3">
                  <c:v>10</c:v>
                </c:pt>
                <c:pt idx="4">
                  <c:v>5</c:v>
                </c:pt>
              </c:numCache>
            </c:numRef>
          </c:val>
          <c:extLst>
            <c:ext xmlns:c16="http://schemas.microsoft.com/office/drawing/2014/chart" uri="{C3380CC4-5D6E-409C-BE32-E72D297353CC}">
              <c16:uniqueId val="{00000036-EEE4-4273-9AEC-05263954C03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823979</xdr:colOff>
      <xdr:row>17</xdr:row>
      <xdr:rowOff>53340</xdr:rowOff>
    </xdr:from>
    <xdr:to>
      <xdr:col>4</xdr:col>
      <xdr:colOff>830580</xdr:colOff>
      <xdr:row>26</xdr:row>
      <xdr:rowOff>45720</xdr:rowOff>
    </xdr:to>
    <mc:AlternateContent xmlns:mc="http://schemas.openxmlformats.org/markup-compatibility/2006" xmlns:a14="http://schemas.microsoft.com/office/drawing/2010/main">
      <mc:Choice Requires="a14">
        <xdr:graphicFrame macro="">
          <xdr:nvGraphicFramePr>
            <xdr:cNvPr id="2" name="Region 1">
              <a:extLst>
                <a:ext uri="{FF2B5EF4-FFF2-40B4-BE49-F238E27FC236}">
                  <a16:creationId xmlns:a16="http://schemas.microsoft.com/office/drawing/2014/main" id="{31378E25-EE85-43AB-83B5-2153EA456EB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580454" y="3178832"/>
              <a:ext cx="1763075" cy="17746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127886</xdr:colOff>
      <xdr:row>12</xdr:row>
      <xdr:rowOff>167415</xdr:rowOff>
    </xdr:from>
    <xdr:to>
      <xdr:col>2</xdr:col>
      <xdr:colOff>724705</xdr:colOff>
      <xdr:row>21</xdr:row>
      <xdr:rowOff>172297</xdr:rowOff>
    </xdr:to>
    <mc:AlternateContent xmlns:mc="http://schemas.openxmlformats.org/markup-compatibility/2006" xmlns:a14="http://schemas.microsoft.com/office/drawing/2010/main">
      <mc:Choice Requires="a14">
        <xdr:graphicFrame macro="">
          <xdr:nvGraphicFramePr>
            <xdr:cNvPr id="3" name="Payment Method 1">
              <a:extLst>
                <a:ext uri="{FF2B5EF4-FFF2-40B4-BE49-F238E27FC236}">
                  <a16:creationId xmlns:a16="http://schemas.microsoft.com/office/drawing/2014/main" id="{7E47B20F-5CF6-4B86-8B58-DC458D489E08}"/>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127886" y="2388839"/>
              <a:ext cx="2353294" cy="16322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1010920</xdr:colOff>
      <xdr:row>4</xdr:row>
      <xdr:rowOff>124459</xdr:rowOff>
    </xdr:from>
    <xdr:to>
      <xdr:col>10</xdr:col>
      <xdr:colOff>865322</xdr:colOff>
      <xdr:row>29</xdr:row>
      <xdr:rowOff>167898</xdr:rowOff>
    </xdr:to>
    <xdr:graphicFrame macro="">
      <xdr:nvGraphicFramePr>
        <xdr:cNvPr id="7" name="Chart 6">
          <a:extLst>
            <a:ext uri="{FF2B5EF4-FFF2-40B4-BE49-F238E27FC236}">
              <a16:creationId xmlns:a16="http://schemas.microsoft.com/office/drawing/2014/main" id="{641379C8-7059-43B5-B132-8022E309AF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1016000</xdr:colOff>
      <xdr:row>30</xdr:row>
      <xdr:rowOff>167898</xdr:rowOff>
    </xdr:from>
    <xdr:to>
      <xdr:col>10</xdr:col>
      <xdr:colOff>865322</xdr:colOff>
      <xdr:row>57</xdr:row>
      <xdr:rowOff>71120</xdr:rowOff>
    </xdr:to>
    <xdr:graphicFrame macro="">
      <xdr:nvGraphicFramePr>
        <xdr:cNvPr id="8" name="Chart 7">
          <a:extLst>
            <a:ext uri="{FF2B5EF4-FFF2-40B4-BE49-F238E27FC236}">
              <a16:creationId xmlns:a16="http://schemas.microsoft.com/office/drawing/2014/main" id="{7EBAF69D-8415-408B-9797-459FE1EAA9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123824</xdr:colOff>
      <xdr:row>30</xdr:row>
      <xdr:rowOff>152401</xdr:rowOff>
    </xdr:from>
    <xdr:to>
      <xdr:col>4</xdr:col>
      <xdr:colOff>838199</xdr:colOff>
      <xdr:row>57</xdr:row>
      <xdr:rowOff>66675</xdr:rowOff>
    </xdr:to>
    <xdr:graphicFrame macro="">
      <xdr:nvGraphicFramePr>
        <xdr:cNvPr id="9" name="Chart 8">
          <a:extLst>
            <a:ext uri="{FF2B5EF4-FFF2-40B4-BE49-F238E27FC236}">
              <a16:creationId xmlns:a16="http://schemas.microsoft.com/office/drawing/2014/main" id="{0461FC6B-8925-4ACA-9147-6FAF17552E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133350</xdr:colOff>
      <xdr:row>22</xdr:row>
      <xdr:rowOff>66675</xdr:rowOff>
    </xdr:from>
    <xdr:to>
      <xdr:col>2</xdr:col>
      <xdr:colOff>723900</xdr:colOff>
      <xdr:row>30</xdr:row>
      <xdr:rowOff>28575</xdr:rowOff>
    </xdr:to>
    <mc:AlternateContent xmlns:mc="http://schemas.openxmlformats.org/markup-compatibility/2006" xmlns:a14="http://schemas.microsoft.com/office/drawing/2010/main">
      <mc:Choice Requires="a14">
        <xdr:graphicFrame macro="">
          <xdr:nvGraphicFramePr>
            <xdr:cNvPr id="11" name="Delivery Status">
              <a:extLst>
                <a:ext uri="{FF2B5EF4-FFF2-40B4-BE49-F238E27FC236}">
                  <a16:creationId xmlns:a16="http://schemas.microsoft.com/office/drawing/2014/main" id="{98B51B32-BC53-F86A-0EE7-2903C6574E26}"/>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133350" y="4096234"/>
              <a:ext cx="2347025" cy="15633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146164</xdr:colOff>
      <xdr:row>4</xdr:row>
      <xdr:rowOff>121919</xdr:rowOff>
    </xdr:from>
    <xdr:to>
      <xdr:col>4</xdr:col>
      <xdr:colOff>803189</xdr:colOff>
      <xdr:row>12</xdr:row>
      <xdr:rowOff>61784</xdr:rowOff>
    </xdr:to>
    <mc:AlternateContent xmlns:mc="http://schemas.openxmlformats.org/markup-compatibility/2006" xmlns:tsle="http://schemas.microsoft.com/office/drawing/2012/timeslicer">
      <mc:Choice Requires="tsle">
        <xdr:graphicFrame macro="">
          <xdr:nvGraphicFramePr>
            <xdr:cNvPr id="12" name="Order Date">
              <a:extLst>
                <a:ext uri="{FF2B5EF4-FFF2-40B4-BE49-F238E27FC236}">
                  <a16:creationId xmlns:a16="http://schemas.microsoft.com/office/drawing/2014/main" id="{72071FC5-0731-6D09-483D-2C6267BE96F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46164" y="896834"/>
              <a:ext cx="4169974" cy="138637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e32894b7ebbfd136/Documents/ZY247/Excel/Week4/Session11/Activities.xlsx" TargetMode="External"/><Relationship Id="rId1" Type="http://schemas.openxmlformats.org/officeDocument/2006/relationships/externalLinkPath" Target="https://d.docs.live.net/e32894b7ebbfd136/Documents/ZY247/Excel/Week4/Session11/Activitie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d.docs.live.net/e32894b7ebbfd136/Documents/Xaltius/NTUC/SCTP-DA/Excel-Essentials/CLASS-MINE/Essentials28.9.25.xlsx" TargetMode="External"/><Relationship Id="rId1" Type="http://schemas.openxmlformats.org/officeDocument/2006/relationships/externalLinkPath" Target="https://d.docs.live.net/e32894b7ebbfd136/Documents/Xaltius/NTUC/SCTP-DA/Excel-Essentials/CLASS-MINE/Essentials28.9.25.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4710209-HandsOn_22-11-25_-_Solved.xlsx" TargetMode="External"/><Relationship Id="rId2" Type="http://schemas.openxmlformats.org/officeDocument/2006/relationships/externalLinkPath" Target="file:///C:\Users\Khazarik\Desktop\data\4710209-HandsOn_22-11-25_-_Solved.xlsx" TargetMode="External"/><Relationship Id="rId1" Type="http://schemas.openxmlformats.org/officeDocument/2006/relationships/externalLinkPath" Target="/Users/Khazarik/Desktop/data/4710209-HandsOn_22-11-25_-_Solved.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d.docs.live.net/e32894b7ebbfd136/Documents/ZY247/Batch2/Module%201%20-%20Excel/Metrics.xlsx" TargetMode="External"/><Relationship Id="rId1" Type="http://schemas.openxmlformats.org/officeDocument/2006/relationships/externalLinkPath" Target="https://d.docs.live.net/e32894b7ebbfd136/Documents/ZY247/Batch2/Module%201%20-%20Excel/Metric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ormat"/>
      <sheetName val="LogicalFunctions"/>
      <sheetName val="MathFunctions"/>
      <sheetName val="TextFunctions"/>
      <sheetName val="VLookup"/>
      <sheetName val="VLookup(Approx)"/>
      <sheetName val="HLookup"/>
      <sheetName val="DateFunctions"/>
      <sheetName val="ConditionalFormatting"/>
      <sheetName val="Charts"/>
      <sheetName val="ChartResults"/>
      <sheetName val="PivotTable1.1"/>
      <sheetName val="PivotResults1.1"/>
      <sheetName val="PivotTable1.2"/>
      <sheetName val="PivotResults1.2"/>
      <sheetName val="PowerQuery"/>
      <sheetName val="TransformedData"/>
      <sheetName val="DataValidation"/>
      <sheetName val="Substitute"/>
      <sheetName val="Offset"/>
      <sheetName val="OffestPivot"/>
      <sheetName val="TextToColumns"/>
      <sheetName val="FlashFil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2">
          <cell r="V2" t="str">
            <v>Monday'13</v>
          </cell>
        </row>
        <row r="3">
          <cell r="V3" t="str">
            <v>Monday'14</v>
          </cell>
        </row>
        <row r="4">
          <cell r="V4" t="str">
            <v>Monday'15</v>
          </cell>
        </row>
        <row r="5">
          <cell r="V5" t="str">
            <v>Monday'16</v>
          </cell>
        </row>
        <row r="6">
          <cell r="V6" t="str">
            <v>Monday'17</v>
          </cell>
        </row>
        <row r="7">
          <cell r="V7" t="str">
            <v>Monday'18</v>
          </cell>
        </row>
        <row r="8">
          <cell r="V8" t="str">
            <v>Monday'19</v>
          </cell>
        </row>
        <row r="9">
          <cell r="V9" t="str">
            <v>Monday'20</v>
          </cell>
        </row>
        <row r="10">
          <cell r="V10" t="str">
            <v>Monday'21</v>
          </cell>
        </row>
        <row r="11">
          <cell r="V11" t="str">
            <v>Monday'22</v>
          </cell>
        </row>
        <row r="12">
          <cell r="V12" t="str">
            <v>Monday'23</v>
          </cell>
        </row>
        <row r="13">
          <cell r="V13" t="str">
            <v>Monday'24</v>
          </cell>
        </row>
        <row r="14">
          <cell r="V14" t="str">
            <v>Monday'25</v>
          </cell>
        </row>
        <row r="15">
          <cell r="V15" t="str">
            <v>Monday'26</v>
          </cell>
        </row>
        <row r="16">
          <cell r="V16" t="str">
            <v>Monday'27</v>
          </cell>
        </row>
        <row r="17">
          <cell r="V17" t="str">
            <v>Monday'28</v>
          </cell>
        </row>
        <row r="18">
          <cell r="V18" t="str">
            <v>Monday'29</v>
          </cell>
        </row>
        <row r="19">
          <cell r="V19" t="str">
            <v>Monday'30</v>
          </cell>
        </row>
        <row r="20">
          <cell r="V20" t="str">
            <v>Monday'31</v>
          </cell>
        </row>
      </sheetData>
      <sheetData sheetId="18"/>
      <sheetData sheetId="19">
        <row r="1">
          <cell r="A1" t="str">
            <v>Date</v>
          </cell>
          <cell r="B1" t="str">
            <v>Stock Ticker</v>
          </cell>
          <cell r="C1" t="str">
            <v>Sector</v>
          </cell>
          <cell r="D1" t="str">
            <v>Market Cap ($B)</v>
          </cell>
          <cell r="E1" t="str">
            <v>Price</v>
          </cell>
          <cell r="F1" t="str">
            <v>Volume</v>
          </cell>
          <cell r="G1" t="str">
            <v>Day High</v>
          </cell>
          <cell r="H1" t="str">
            <v>Day Low</v>
          </cell>
          <cell r="I1" t="str">
            <v>DayRange</v>
          </cell>
        </row>
        <row r="2">
          <cell r="A2">
            <v>44929</v>
          </cell>
        </row>
        <row r="3">
          <cell r="A3">
            <v>44929</v>
          </cell>
        </row>
        <row r="4">
          <cell r="A4">
            <v>44929</v>
          </cell>
        </row>
        <row r="5">
          <cell r="A5">
            <v>44929</v>
          </cell>
        </row>
        <row r="6">
          <cell r="A6">
            <v>44930</v>
          </cell>
        </row>
        <row r="7">
          <cell r="A7">
            <v>44930</v>
          </cell>
        </row>
        <row r="8">
          <cell r="A8">
            <v>44930</v>
          </cell>
        </row>
        <row r="9">
          <cell r="A9">
            <v>44930</v>
          </cell>
        </row>
        <row r="10">
          <cell r="A10">
            <v>44964</v>
          </cell>
        </row>
        <row r="11">
          <cell r="A11">
            <v>44964</v>
          </cell>
        </row>
        <row r="12">
          <cell r="A12">
            <v>44964</v>
          </cell>
        </row>
        <row r="13">
          <cell r="A13">
            <v>44964</v>
          </cell>
        </row>
        <row r="14">
          <cell r="A14">
            <v>44965</v>
          </cell>
        </row>
        <row r="15">
          <cell r="A15">
            <v>44965</v>
          </cell>
        </row>
        <row r="16">
          <cell r="A16">
            <v>44965</v>
          </cell>
        </row>
        <row r="17">
          <cell r="A17">
            <v>44965</v>
          </cell>
        </row>
        <row r="18">
          <cell r="A18">
            <v>45000</v>
          </cell>
        </row>
        <row r="19">
          <cell r="A19">
            <v>45000</v>
          </cell>
        </row>
        <row r="20">
          <cell r="A20">
            <v>45000</v>
          </cell>
        </row>
        <row r="21">
          <cell r="A21">
            <v>45000</v>
          </cell>
        </row>
        <row r="22">
          <cell r="A22">
            <v>45001</v>
          </cell>
        </row>
        <row r="23">
          <cell r="A23">
            <v>45001</v>
          </cell>
        </row>
        <row r="24">
          <cell r="A24">
            <v>45001</v>
          </cell>
        </row>
        <row r="25">
          <cell r="A25">
            <v>45001</v>
          </cell>
        </row>
        <row r="26">
          <cell r="A26">
            <v>45017</v>
          </cell>
        </row>
        <row r="27">
          <cell r="A27">
            <v>45017</v>
          </cell>
        </row>
        <row r="28">
          <cell r="A28">
            <v>45017</v>
          </cell>
        </row>
        <row r="29">
          <cell r="A29">
            <v>45017</v>
          </cell>
        </row>
        <row r="30">
          <cell r="A30">
            <v>45056</v>
          </cell>
        </row>
        <row r="31">
          <cell r="A31">
            <v>45056</v>
          </cell>
        </row>
        <row r="32">
          <cell r="A32">
            <v>45056</v>
          </cell>
        </row>
        <row r="33">
          <cell r="A33">
            <v>45056</v>
          </cell>
        </row>
        <row r="34">
          <cell r="A34">
            <v>45056</v>
          </cell>
        </row>
        <row r="35">
          <cell r="A35">
            <v>45056</v>
          </cell>
        </row>
        <row r="36">
          <cell r="A36">
            <v>45056</v>
          </cell>
        </row>
        <row r="37">
          <cell r="A37">
            <v>45056</v>
          </cell>
        </row>
        <row r="38">
          <cell r="A38">
            <v>45451</v>
          </cell>
        </row>
        <row r="39">
          <cell r="A39">
            <v>45451</v>
          </cell>
        </row>
        <row r="40">
          <cell r="A40">
            <v>45451</v>
          </cell>
        </row>
        <row r="41">
          <cell r="A41">
            <v>45451</v>
          </cell>
        </row>
        <row r="42">
          <cell r="A42">
            <v>45451</v>
          </cell>
        </row>
        <row r="43">
          <cell r="A43">
            <v>45451</v>
          </cell>
        </row>
        <row r="44">
          <cell r="A44">
            <v>45451</v>
          </cell>
        </row>
        <row r="45">
          <cell r="A45">
            <v>45451</v>
          </cell>
        </row>
        <row r="46">
          <cell r="A46">
            <v>45451</v>
          </cell>
        </row>
        <row r="47">
          <cell r="A47">
            <v>45451</v>
          </cell>
        </row>
      </sheetData>
      <sheetData sheetId="20"/>
      <sheetData sheetId="21"/>
      <sheetData sheetId="22"/>
      <sheetData sheetId="2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dules"/>
      <sheetName val="Shortcuts"/>
      <sheetName val="NamedRanges"/>
      <sheetName val="LogicalFunctions"/>
      <sheetName val="TextFunctions"/>
      <sheetName val="DateFunctions"/>
      <sheetName val="VLookup"/>
      <sheetName val="HLookup"/>
      <sheetName val="XLookup"/>
      <sheetName val="Table"/>
      <sheetName val="ConditionalFormatting"/>
      <sheetName val="VLookup(Approx)"/>
      <sheetName val="SearchBox"/>
      <sheetName val="SumIF-CountIF"/>
      <sheetName val="SumIfPrac"/>
      <sheetName val="PivotTable1.1"/>
      <sheetName val="PivotResults1.1"/>
      <sheetName val="PivotTable1.2"/>
      <sheetName val="PivotResults1.2"/>
      <sheetName val="Charts"/>
      <sheetName val="Dash1"/>
      <sheetName val="PivotCharts"/>
      <sheetName val="PivotTables"/>
      <sheetName val="Dash2"/>
      <sheetName val="Notes1"/>
      <sheetName val="Notes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1">
          <cell r="A1" t="str">
            <v>ChannelType</v>
          </cell>
          <cell r="B1" t="str">
            <v>Department</v>
          </cell>
          <cell r="C1" t="str">
            <v>Sales_Date</v>
          </cell>
          <cell r="D1" t="str">
            <v>Sales_Cost</v>
          </cell>
          <cell r="E1" t="str">
            <v>Sales_Amt</v>
          </cell>
          <cell r="F1" t="str">
            <v>CustomerID</v>
          </cell>
          <cell r="G1" t="str">
            <v>CustomerName</v>
          </cell>
          <cell r="H1" t="str">
            <v>Location</v>
          </cell>
          <cell r="I1" t="str">
            <v>Country</v>
          </cell>
          <cell r="J1" t="str">
            <v>City</v>
          </cell>
        </row>
        <row r="2">
          <cell r="A2" t="str">
            <v>Online</v>
          </cell>
        </row>
        <row r="3">
          <cell r="A3" t="str">
            <v>Online</v>
          </cell>
        </row>
        <row r="4">
          <cell r="A4" t="str">
            <v>Online</v>
          </cell>
        </row>
        <row r="5">
          <cell r="A5" t="str">
            <v>Online</v>
          </cell>
        </row>
        <row r="6">
          <cell r="A6" t="str">
            <v>Online</v>
          </cell>
        </row>
        <row r="7">
          <cell r="A7" t="str">
            <v>Online</v>
          </cell>
        </row>
        <row r="8">
          <cell r="A8" t="str">
            <v>Online</v>
          </cell>
        </row>
        <row r="9">
          <cell r="A9" t="str">
            <v>Online</v>
          </cell>
        </row>
        <row r="10">
          <cell r="A10" t="str">
            <v>Online</v>
          </cell>
        </row>
        <row r="11">
          <cell r="A11" t="str">
            <v>Direct</v>
          </cell>
        </row>
        <row r="12">
          <cell r="A12" t="str">
            <v>Direct</v>
          </cell>
        </row>
        <row r="13">
          <cell r="A13" t="str">
            <v>Direct</v>
          </cell>
        </row>
        <row r="14">
          <cell r="A14" t="str">
            <v>Direct</v>
          </cell>
        </row>
        <row r="15">
          <cell r="A15" t="str">
            <v>Direct</v>
          </cell>
        </row>
        <row r="16">
          <cell r="A16" t="str">
            <v>Direct</v>
          </cell>
        </row>
        <row r="17">
          <cell r="A17" t="str">
            <v>Direct</v>
          </cell>
        </row>
        <row r="18">
          <cell r="A18" t="str">
            <v>Direct</v>
          </cell>
        </row>
        <row r="19">
          <cell r="A19" t="str">
            <v>Direct</v>
          </cell>
        </row>
        <row r="20">
          <cell r="A20" t="str">
            <v>Direct</v>
          </cell>
        </row>
        <row r="21">
          <cell r="A21" t="str">
            <v>Post</v>
          </cell>
        </row>
        <row r="22">
          <cell r="A22" t="str">
            <v>Post</v>
          </cell>
        </row>
        <row r="23">
          <cell r="A23" t="str">
            <v>Post</v>
          </cell>
        </row>
        <row r="24">
          <cell r="A24" t="str">
            <v>Post</v>
          </cell>
        </row>
        <row r="25">
          <cell r="A25" t="str">
            <v>Post</v>
          </cell>
        </row>
        <row r="26">
          <cell r="A26" t="str">
            <v>Post</v>
          </cell>
        </row>
        <row r="27">
          <cell r="A27" t="str">
            <v>Post</v>
          </cell>
        </row>
        <row r="28">
          <cell r="A28" t="str">
            <v>Post</v>
          </cell>
        </row>
        <row r="29">
          <cell r="A29" t="str">
            <v>Post</v>
          </cell>
        </row>
        <row r="30">
          <cell r="A30" t="str">
            <v>Post</v>
          </cell>
        </row>
        <row r="31">
          <cell r="A31" t="str">
            <v>Online</v>
          </cell>
        </row>
        <row r="32">
          <cell r="A32" t="str">
            <v>Online</v>
          </cell>
        </row>
        <row r="33">
          <cell r="A33" t="str">
            <v>Online</v>
          </cell>
        </row>
        <row r="34">
          <cell r="A34" t="str">
            <v>Online</v>
          </cell>
        </row>
        <row r="35">
          <cell r="A35" t="str">
            <v>Online</v>
          </cell>
        </row>
        <row r="36">
          <cell r="A36" t="str">
            <v>Online</v>
          </cell>
        </row>
        <row r="37">
          <cell r="A37" t="str">
            <v>Online</v>
          </cell>
        </row>
        <row r="38">
          <cell r="A38" t="str">
            <v>Online</v>
          </cell>
        </row>
        <row r="39">
          <cell r="A39" t="str">
            <v>Online</v>
          </cell>
        </row>
        <row r="40">
          <cell r="A40" t="str">
            <v>Direct</v>
          </cell>
        </row>
        <row r="41">
          <cell r="A41" t="str">
            <v>Direct</v>
          </cell>
        </row>
        <row r="42">
          <cell r="A42" t="str">
            <v>Direct</v>
          </cell>
        </row>
        <row r="43">
          <cell r="A43" t="str">
            <v>Direct</v>
          </cell>
        </row>
        <row r="44">
          <cell r="A44" t="str">
            <v>Direct</v>
          </cell>
        </row>
        <row r="45">
          <cell r="A45" t="str">
            <v>Direct</v>
          </cell>
        </row>
        <row r="46">
          <cell r="A46" t="str">
            <v>Direct</v>
          </cell>
        </row>
        <row r="47">
          <cell r="A47" t="str">
            <v>Direct</v>
          </cell>
        </row>
        <row r="48">
          <cell r="A48" t="str">
            <v>Direct</v>
          </cell>
        </row>
        <row r="49">
          <cell r="A49" t="str">
            <v>Direct</v>
          </cell>
        </row>
        <row r="50">
          <cell r="A50" t="str">
            <v>Post</v>
          </cell>
        </row>
        <row r="51">
          <cell r="A51" t="str">
            <v>Post</v>
          </cell>
        </row>
        <row r="52">
          <cell r="A52" t="str">
            <v>Post</v>
          </cell>
        </row>
        <row r="53">
          <cell r="A53" t="str">
            <v>Post</v>
          </cell>
        </row>
        <row r="54">
          <cell r="A54" t="str">
            <v>Post</v>
          </cell>
        </row>
        <row r="55">
          <cell r="A55" t="str">
            <v>Post</v>
          </cell>
        </row>
        <row r="56">
          <cell r="A56" t="str">
            <v>Post</v>
          </cell>
        </row>
        <row r="57">
          <cell r="A57" t="str">
            <v>Post</v>
          </cell>
        </row>
        <row r="58">
          <cell r="A58" t="str">
            <v>Post</v>
          </cell>
        </row>
        <row r="59">
          <cell r="A59" t="str">
            <v>Post</v>
          </cell>
        </row>
        <row r="60">
          <cell r="A60" t="str">
            <v>Online</v>
          </cell>
        </row>
        <row r="61">
          <cell r="A61" t="str">
            <v>Online</v>
          </cell>
        </row>
        <row r="62">
          <cell r="A62" t="str">
            <v>Online</v>
          </cell>
        </row>
        <row r="63">
          <cell r="A63" t="str">
            <v>Online</v>
          </cell>
        </row>
        <row r="64">
          <cell r="A64" t="str">
            <v>Online</v>
          </cell>
        </row>
        <row r="65">
          <cell r="A65" t="str">
            <v>Online</v>
          </cell>
        </row>
        <row r="66">
          <cell r="A66" t="str">
            <v>Online</v>
          </cell>
        </row>
        <row r="67">
          <cell r="A67" t="str">
            <v>Online</v>
          </cell>
        </row>
        <row r="68">
          <cell r="A68" t="str">
            <v>Online</v>
          </cell>
        </row>
        <row r="69">
          <cell r="A69" t="str">
            <v>Direct</v>
          </cell>
        </row>
        <row r="70">
          <cell r="A70" t="str">
            <v>Direct</v>
          </cell>
        </row>
        <row r="71">
          <cell r="A71" t="str">
            <v>Direct</v>
          </cell>
        </row>
        <row r="72">
          <cell r="A72" t="str">
            <v>Direct</v>
          </cell>
        </row>
        <row r="73">
          <cell r="A73" t="str">
            <v>Direct</v>
          </cell>
        </row>
        <row r="74">
          <cell r="A74" t="str">
            <v>Direct</v>
          </cell>
        </row>
        <row r="75">
          <cell r="A75" t="str">
            <v>Direct</v>
          </cell>
        </row>
        <row r="76">
          <cell r="A76" t="str">
            <v>Direct</v>
          </cell>
        </row>
        <row r="77">
          <cell r="A77" t="str">
            <v>Direct</v>
          </cell>
        </row>
        <row r="78">
          <cell r="A78" t="str">
            <v>Direct</v>
          </cell>
        </row>
        <row r="79">
          <cell r="A79" t="str">
            <v>Post</v>
          </cell>
        </row>
        <row r="80">
          <cell r="A80" t="str">
            <v>Post</v>
          </cell>
        </row>
        <row r="81">
          <cell r="A81" t="str">
            <v>Post</v>
          </cell>
        </row>
        <row r="82">
          <cell r="A82" t="str">
            <v>Post</v>
          </cell>
        </row>
        <row r="83">
          <cell r="A83" t="str">
            <v>Post</v>
          </cell>
        </row>
        <row r="84">
          <cell r="A84" t="str">
            <v>Post</v>
          </cell>
        </row>
        <row r="85">
          <cell r="A85" t="str">
            <v>Post</v>
          </cell>
        </row>
        <row r="86">
          <cell r="A86" t="str">
            <v>Post</v>
          </cell>
        </row>
        <row r="87">
          <cell r="A87" t="str">
            <v>Post</v>
          </cell>
        </row>
        <row r="88">
          <cell r="A88" t="str">
            <v>Post</v>
          </cell>
        </row>
        <row r="89">
          <cell r="A89" t="str">
            <v>Online</v>
          </cell>
        </row>
        <row r="90">
          <cell r="A90" t="str">
            <v>Online</v>
          </cell>
        </row>
        <row r="91">
          <cell r="A91" t="str">
            <v>Online</v>
          </cell>
        </row>
        <row r="92">
          <cell r="A92" t="str">
            <v>Online</v>
          </cell>
        </row>
        <row r="93">
          <cell r="A93" t="str">
            <v>Online</v>
          </cell>
        </row>
        <row r="94">
          <cell r="A94" t="str">
            <v>Online</v>
          </cell>
        </row>
        <row r="95">
          <cell r="A95" t="str">
            <v>Online</v>
          </cell>
        </row>
        <row r="96">
          <cell r="A96" t="str">
            <v>Online</v>
          </cell>
        </row>
        <row r="97">
          <cell r="A97" t="str">
            <v>Online</v>
          </cell>
        </row>
        <row r="98">
          <cell r="A98" t="str">
            <v>Direct</v>
          </cell>
        </row>
        <row r="99">
          <cell r="A99" t="str">
            <v>Direct</v>
          </cell>
        </row>
        <row r="100">
          <cell r="A100" t="str">
            <v>Direct</v>
          </cell>
        </row>
        <row r="101">
          <cell r="A101" t="str">
            <v>Direct</v>
          </cell>
        </row>
        <row r="102">
          <cell r="A102" t="str">
            <v>Direct</v>
          </cell>
        </row>
        <row r="103">
          <cell r="A103" t="str">
            <v>Direct</v>
          </cell>
        </row>
        <row r="104">
          <cell r="A104" t="str">
            <v>Direct</v>
          </cell>
        </row>
        <row r="105">
          <cell r="A105" t="str">
            <v>Direct</v>
          </cell>
        </row>
        <row r="106">
          <cell r="A106" t="str">
            <v>Direct</v>
          </cell>
        </row>
        <row r="107">
          <cell r="A107" t="str">
            <v>Direct</v>
          </cell>
        </row>
        <row r="108">
          <cell r="A108" t="str">
            <v>Post</v>
          </cell>
        </row>
        <row r="109">
          <cell r="A109" t="str">
            <v>Post</v>
          </cell>
        </row>
        <row r="110">
          <cell r="A110" t="str">
            <v>Post</v>
          </cell>
        </row>
        <row r="111">
          <cell r="A111" t="str">
            <v>Post</v>
          </cell>
        </row>
        <row r="112">
          <cell r="A112" t="str">
            <v>Post</v>
          </cell>
        </row>
        <row r="113">
          <cell r="A113" t="str">
            <v>Post</v>
          </cell>
        </row>
        <row r="114">
          <cell r="A114" t="str">
            <v>Post</v>
          </cell>
        </row>
        <row r="115">
          <cell r="A115" t="str">
            <v>Post</v>
          </cell>
        </row>
        <row r="116">
          <cell r="A116" t="str">
            <v>Post</v>
          </cell>
        </row>
        <row r="117">
          <cell r="A117" t="str">
            <v>Post</v>
          </cell>
        </row>
        <row r="118">
          <cell r="A118" t="str">
            <v>Post</v>
          </cell>
        </row>
      </sheetData>
      <sheetData sheetId="18"/>
      <sheetData sheetId="19"/>
      <sheetData sheetId="20"/>
      <sheetData sheetId="21"/>
      <sheetData sheetId="22"/>
      <sheetData sheetId="23"/>
      <sheetData sheetId="24"/>
      <sheetData sheetId="2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genda"/>
      <sheetName val="KeyboardShortcuts"/>
      <sheetName val="BasicFormatting"/>
      <sheetName val="Sorting&amp;Filtering"/>
      <sheetName val="MathsFunctions"/>
      <sheetName val="HR_Data"/>
      <sheetName val="NamedRange"/>
      <sheetName val="TableQuestions"/>
      <sheetName val="TextFunctions"/>
      <sheetName val="DateFunctions"/>
      <sheetName val="LogicalFunctions"/>
      <sheetName val="VLookUp"/>
      <sheetName val="HLookup"/>
      <sheetName val="XLookup"/>
      <sheetName val="ConditionalFormatting"/>
      <sheetName val="Charts"/>
      <sheetName val="ChartResults"/>
      <sheetName val="PivotTable1.1"/>
      <sheetName val="Pivot1.1Results"/>
      <sheetName val="PivotTable1.2"/>
      <sheetName val="PivotResults1.2"/>
      <sheetName val="Dashboard"/>
      <sheetName val="Sheet1"/>
      <sheetName val="DataValidation"/>
    </sheetNames>
    <sheetDataSet>
      <sheetData sheetId="0" refreshError="1"/>
      <sheetData sheetId="1" refreshError="1"/>
      <sheetData sheetId="2" refreshError="1"/>
      <sheetData sheetId="3" refreshError="1"/>
      <sheetData sheetId="4" refreshError="1"/>
      <sheetData sheetId="5" refreshError="1"/>
      <sheetData sheetId="6">
        <row r="3">
          <cell r="O3">
            <v>5993</v>
          </cell>
          <cell r="P3">
            <v>19479</v>
          </cell>
        </row>
        <row r="4">
          <cell r="O4">
            <v>5130</v>
          </cell>
          <cell r="P4">
            <v>24907</v>
          </cell>
        </row>
        <row r="5">
          <cell r="O5">
            <v>2090</v>
          </cell>
          <cell r="P5">
            <v>2396</v>
          </cell>
        </row>
        <row r="6">
          <cell r="O6">
            <v>2909</v>
          </cell>
          <cell r="P6">
            <v>23159</v>
          </cell>
        </row>
        <row r="7">
          <cell r="O7">
            <v>3468</v>
          </cell>
          <cell r="P7">
            <v>16632</v>
          </cell>
        </row>
        <row r="8">
          <cell r="O8">
            <v>3068</v>
          </cell>
          <cell r="P8">
            <v>11864</v>
          </cell>
        </row>
        <row r="9">
          <cell r="O9">
            <v>2670</v>
          </cell>
          <cell r="P9">
            <v>9964</v>
          </cell>
        </row>
        <row r="10">
          <cell r="O10">
            <v>2693</v>
          </cell>
          <cell r="P10">
            <v>13335</v>
          </cell>
        </row>
        <row r="11">
          <cell r="O11">
            <v>9526</v>
          </cell>
          <cell r="P11">
            <v>8787</v>
          </cell>
        </row>
        <row r="12">
          <cell r="O12">
            <v>5237</v>
          </cell>
          <cell r="P12">
            <v>16577</v>
          </cell>
        </row>
        <row r="13">
          <cell r="O13">
            <v>2426</v>
          </cell>
          <cell r="P13">
            <v>16479</v>
          </cell>
        </row>
        <row r="14">
          <cell r="O14">
            <v>4193</v>
          </cell>
          <cell r="P14">
            <v>12682</v>
          </cell>
        </row>
        <row r="15">
          <cell r="O15">
            <v>2911</v>
          </cell>
          <cell r="P15">
            <v>15170</v>
          </cell>
        </row>
        <row r="16">
          <cell r="O16">
            <v>2661</v>
          </cell>
          <cell r="P16">
            <v>8758</v>
          </cell>
        </row>
        <row r="17">
          <cell r="O17">
            <v>2028</v>
          </cell>
          <cell r="P17">
            <v>12947</v>
          </cell>
        </row>
        <row r="18">
          <cell r="O18">
            <v>9980</v>
          </cell>
          <cell r="P18">
            <v>10195</v>
          </cell>
        </row>
        <row r="19">
          <cell r="O19">
            <v>3298</v>
          </cell>
          <cell r="P19">
            <v>15053</v>
          </cell>
        </row>
        <row r="20">
          <cell r="O20">
            <v>2935</v>
          </cell>
          <cell r="P20">
            <v>7324</v>
          </cell>
        </row>
        <row r="21">
          <cell r="O21">
            <v>15427</v>
          </cell>
          <cell r="P21">
            <v>22021</v>
          </cell>
        </row>
        <row r="22">
          <cell r="O22">
            <v>3944</v>
          </cell>
          <cell r="P22">
            <v>4306</v>
          </cell>
        </row>
        <row r="23">
          <cell r="O23">
            <v>4011</v>
          </cell>
          <cell r="P23">
            <v>8232</v>
          </cell>
        </row>
        <row r="24">
          <cell r="O24">
            <v>3407</v>
          </cell>
          <cell r="P24">
            <v>6986</v>
          </cell>
        </row>
        <row r="25">
          <cell r="O25">
            <v>11994</v>
          </cell>
          <cell r="P25">
            <v>21293</v>
          </cell>
        </row>
        <row r="26">
          <cell r="O26">
            <v>1232</v>
          </cell>
          <cell r="P26">
            <v>19281</v>
          </cell>
        </row>
        <row r="27">
          <cell r="O27">
            <v>2960</v>
          </cell>
          <cell r="P27">
            <v>17102</v>
          </cell>
        </row>
        <row r="28">
          <cell r="O28">
            <v>19094</v>
          </cell>
          <cell r="P28">
            <v>10735</v>
          </cell>
        </row>
        <row r="29">
          <cell r="O29">
            <v>3919</v>
          </cell>
          <cell r="P29">
            <v>4681</v>
          </cell>
        </row>
        <row r="30">
          <cell r="O30">
            <v>6825</v>
          </cell>
          <cell r="P30">
            <v>21173</v>
          </cell>
        </row>
        <row r="31">
          <cell r="O31">
            <v>10248</v>
          </cell>
          <cell r="P31">
            <v>2094</v>
          </cell>
        </row>
        <row r="32">
          <cell r="O32">
            <v>18947</v>
          </cell>
          <cell r="P32">
            <v>22822</v>
          </cell>
        </row>
        <row r="33">
          <cell r="O33">
            <v>2496</v>
          </cell>
          <cell r="P33">
            <v>6670</v>
          </cell>
        </row>
        <row r="34">
          <cell r="O34">
            <v>6465</v>
          </cell>
          <cell r="P34">
            <v>19121</v>
          </cell>
        </row>
        <row r="35">
          <cell r="O35">
            <v>2206</v>
          </cell>
          <cell r="P35">
            <v>16117</v>
          </cell>
        </row>
        <row r="36">
          <cell r="O36">
            <v>2086</v>
          </cell>
          <cell r="P36">
            <v>3335</v>
          </cell>
        </row>
        <row r="37">
          <cell r="O37">
            <v>2293</v>
          </cell>
          <cell r="P37">
            <v>3020</v>
          </cell>
        </row>
        <row r="38">
          <cell r="O38">
            <v>2645</v>
          </cell>
          <cell r="P38">
            <v>21923</v>
          </cell>
        </row>
        <row r="39">
          <cell r="O39">
            <v>2683</v>
          </cell>
          <cell r="P39">
            <v>3810</v>
          </cell>
        </row>
        <row r="40">
          <cell r="O40">
            <v>2014</v>
          </cell>
          <cell r="P40">
            <v>9687</v>
          </cell>
        </row>
        <row r="41">
          <cell r="O41">
            <v>3419</v>
          </cell>
          <cell r="P41">
            <v>13072</v>
          </cell>
        </row>
        <row r="42">
          <cell r="O42">
            <v>5376</v>
          </cell>
          <cell r="P42">
            <v>3193</v>
          </cell>
        </row>
        <row r="43">
          <cell r="O43">
            <v>1951</v>
          </cell>
          <cell r="P43">
            <v>10910</v>
          </cell>
        </row>
        <row r="44">
          <cell r="O44">
            <v>2341</v>
          </cell>
          <cell r="P44">
            <v>19715</v>
          </cell>
        </row>
        <row r="45">
          <cell r="O45">
            <v>2293</v>
          </cell>
          <cell r="P45">
            <v>10558</v>
          </cell>
        </row>
        <row r="46">
          <cell r="O46">
            <v>8726</v>
          </cell>
          <cell r="P46">
            <v>2975</v>
          </cell>
        </row>
        <row r="47">
          <cell r="O47">
            <v>4011</v>
          </cell>
          <cell r="P47">
            <v>10781</v>
          </cell>
        </row>
        <row r="48">
          <cell r="O48">
            <v>19545</v>
          </cell>
          <cell r="P48">
            <v>16280</v>
          </cell>
        </row>
        <row r="49">
          <cell r="O49">
            <v>4568</v>
          </cell>
          <cell r="P49">
            <v>10034</v>
          </cell>
        </row>
        <row r="50">
          <cell r="O50">
            <v>3022</v>
          </cell>
          <cell r="P50">
            <v>10227</v>
          </cell>
        </row>
        <row r="51">
          <cell r="O51">
            <v>5772</v>
          </cell>
          <cell r="P51">
            <v>20445</v>
          </cell>
        </row>
        <row r="52">
          <cell r="O52">
            <v>2269</v>
          </cell>
          <cell r="P52">
            <v>4892</v>
          </cell>
        </row>
        <row r="53">
          <cell r="O53">
            <v>5381</v>
          </cell>
          <cell r="P53">
            <v>19294</v>
          </cell>
        </row>
        <row r="54">
          <cell r="O54">
            <v>3441</v>
          </cell>
          <cell r="P54">
            <v>11179</v>
          </cell>
        </row>
        <row r="55">
          <cell r="O55">
            <v>5454</v>
          </cell>
          <cell r="P55">
            <v>4009</v>
          </cell>
        </row>
        <row r="56">
          <cell r="O56">
            <v>9884</v>
          </cell>
          <cell r="P56">
            <v>8302</v>
          </cell>
        </row>
        <row r="57">
          <cell r="O57">
            <v>4157</v>
          </cell>
          <cell r="P57">
            <v>21436</v>
          </cell>
        </row>
        <row r="58">
          <cell r="O58">
            <v>13458</v>
          </cell>
          <cell r="P58">
            <v>15146</v>
          </cell>
        </row>
        <row r="59">
          <cell r="O59">
            <v>9069</v>
          </cell>
          <cell r="P59">
            <v>11031</v>
          </cell>
        </row>
        <row r="60">
          <cell r="O60">
            <v>4014</v>
          </cell>
          <cell r="P60">
            <v>16002</v>
          </cell>
        </row>
        <row r="61">
          <cell r="O61">
            <v>5915</v>
          </cell>
          <cell r="P61">
            <v>9528</v>
          </cell>
        </row>
        <row r="62">
          <cell r="O62">
            <v>5993</v>
          </cell>
          <cell r="P62">
            <v>2689</v>
          </cell>
        </row>
        <row r="63">
          <cell r="O63">
            <v>6162</v>
          </cell>
          <cell r="P63">
            <v>10877</v>
          </cell>
        </row>
        <row r="64">
          <cell r="O64">
            <v>2406</v>
          </cell>
          <cell r="P64">
            <v>5456</v>
          </cell>
        </row>
        <row r="65">
          <cell r="O65">
            <v>18740</v>
          </cell>
          <cell r="P65">
            <v>16701</v>
          </cell>
        </row>
        <row r="66">
          <cell r="O66">
            <v>7637</v>
          </cell>
          <cell r="P66">
            <v>2354</v>
          </cell>
        </row>
        <row r="67">
          <cell r="O67">
            <v>10096</v>
          </cell>
          <cell r="P67">
            <v>8202</v>
          </cell>
        </row>
        <row r="68">
          <cell r="O68">
            <v>14756</v>
          </cell>
          <cell r="P68">
            <v>19730</v>
          </cell>
        </row>
        <row r="69">
          <cell r="O69">
            <v>6499</v>
          </cell>
          <cell r="P69">
            <v>22656</v>
          </cell>
        </row>
        <row r="70">
          <cell r="O70">
            <v>9724</v>
          </cell>
          <cell r="P70">
            <v>18787</v>
          </cell>
        </row>
        <row r="71">
          <cell r="O71">
            <v>2194</v>
          </cell>
          <cell r="P71">
            <v>5868</v>
          </cell>
        </row>
        <row r="72">
          <cell r="O72">
            <v>3388</v>
          </cell>
          <cell r="P72">
            <v>21777</v>
          </cell>
        </row>
        <row r="73">
          <cell r="O73">
            <v>5473</v>
          </cell>
          <cell r="P73">
            <v>24668</v>
          </cell>
        </row>
        <row r="74">
          <cell r="O74">
            <v>2703</v>
          </cell>
          <cell r="P74">
            <v>4956</v>
          </cell>
        </row>
        <row r="75">
          <cell r="O75">
            <v>2501</v>
          </cell>
          <cell r="P75">
            <v>18775</v>
          </cell>
        </row>
        <row r="76">
          <cell r="O76">
            <v>6220</v>
          </cell>
          <cell r="P76">
            <v>7346</v>
          </cell>
        </row>
        <row r="77">
          <cell r="O77">
            <v>3038</v>
          </cell>
          <cell r="P77">
            <v>22002</v>
          </cell>
        </row>
        <row r="78">
          <cell r="O78">
            <v>4424</v>
          </cell>
          <cell r="P78">
            <v>20682</v>
          </cell>
        </row>
        <row r="79">
          <cell r="O79">
            <v>4312</v>
          </cell>
          <cell r="P79">
            <v>23016</v>
          </cell>
        </row>
        <row r="80">
          <cell r="O80">
            <v>13245</v>
          </cell>
          <cell r="P80">
            <v>15067</v>
          </cell>
        </row>
        <row r="81">
          <cell r="O81">
            <v>13664</v>
          </cell>
          <cell r="P81">
            <v>25258</v>
          </cell>
        </row>
        <row r="82">
          <cell r="O82">
            <v>5021</v>
          </cell>
          <cell r="P82">
            <v>10425</v>
          </cell>
        </row>
        <row r="83">
          <cell r="O83">
            <v>5126</v>
          </cell>
          <cell r="P83">
            <v>15998</v>
          </cell>
        </row>
        <row r="84">
          <cell r="O84">
            <v>2859</v>
          </cell>
          <cell r="P84">
            <v>26278</v>
          </cell>
        </row>
        <row r="85">
          <cell r="O85">
            <v>10239</v>
          </cell>
          <cell r="P85">
            <v>18092</v>
          </cell>
        </row>
        <row r="86">
          <cell r="O86">
            <v>5329</v>
          </cell>
          <cell r="P86">
            <v>15717</v>
          </cell>
        </row>
        <row r="87">
          <cell r="O87">
            <v>4325</v>
          </cell>
          <cell r="P87">
            <v>17736</v>
          </cell>
        </row>
        <row r="88">
          <cell r="O88">
            <v>7260</v>
          </cell>
          <cell r="P88">
            <v>21698</v>
          </cell>
        </row>
        <row r="89">
          <cell r="O89">
            <v>2322</v>
          </cell>
          <cell r="P89">
            <v>9518</v>
          </cell>
        </row>
        <row r="90">
          <cell r="O90">
            <v>2075</v>
          </cell>
          <cell r="P90">
            <v>18725</v>
          </cell>
        </row>
        <row r="91">
          <cell r="O91">
            <v>4152</v>
          </cell>
          <cell r="P91">
            <v>15830</v>
          </cell>
        </row>
        <row r="92">
          <cell r="O92">
            <v>9619</v>
          </cell>
          <cell r="P92">
            <v>13596</v>
          </cell>
        </row>
        <row r="93">
          <cell r="O93">
            <v>13503</v>
          </cell>
          <cell r="P93">
            <v>14115</v>
          </cell>
        </row>
        <row r="94">
          <cell r="O94">
            <v>5441</v>
          </cell>
          <cell r="P94">
            <v>8423</v>
          </cell>
        </row>
        <row r="95">
          <cell r="O95">
            <v>5209</v>
          </cell>
          <cell r="P95">
            <v>19760</v>
          </cell>
        </row>
        <row r="96">
          <cell r="O96">
            <v>10673</v>
          </cell>
          <cell r="P96">
            <v>3142</v>
          </cell>
        </row>
        <row r="97">
          <cell r="O97">
            <v>5010</v>
          </cell>
          <cell r="P97">
            <v>24301</v>
          </cell>
        </row>
        <row r="98">
          <cell r="O98">
            <v>13549</v>
          </cell>
          <cell r="P98">
            <v>24001</v>
          </cell>
        </row>
        <row r="99">
          <cell r="O99">
            <v>4999</v>
          </cell>
          <cell r="P99">
            <v>17519</v>
          </cell>
        </row>
        <row r="100">
          <cell r="O100">
            <v>4221</v>
          </cell>
          <cell r="P100">
            <v>8863</v>
          </cell>
        </row>
        <row r="101">
          <cell r="O101">
            <v>13872</v>
          </cell>
          <cell r="P101">
            <v>24409</v>
          </cell>
        </row>
        <row r="102">
          <cell r="O102">
            <v>2042</v>
          </cell>
          <cell r="P102">
            <v>25043</v>
          </cell>
        </row>
        <row r="103">
          <cell r="O103">
            <v>2073</v>
          </cell>
          <cell r="P103">
            <v>23648</v>
          </cell>
        </row>
        <row r="104">
          <cell r="O104">
            <v>2956</v>
          </cell>
          <cell r="P104">
            <v>15178</v>
          </cell>
        </row>
        <row r="105">
          <cell r="O105">
            <v>2926</v>
          </cell>
          <cell r="P105">
            <v>19783</v>
          </cell>
        </row>
        <row r="106">
          <cell r="O106">
            <v>4809</v>
          </cell>
          <cell r="P106">
            <v>12482</v>
          </cell>
        </row>
        <row r="107">
          <cell r="O107">
            <v>5163</v>
          </cell>
          <cell r="P107">
            <v>15850</v>
          </cell>
        </row>
        <row r="108">
          <cell r="O108">
            <v>18844</v>
          </cell>
          <cell r="P108">
            <v>21922</v>
          </cell>
        </row>
        <row r="109">
          <cell r="O109">
            <v>18172</v>
          </cell>
          <cell r="P109">
            <v>9755</v>
          </cell>
        </row>
        <row r="110">
          <cell r="O110">
            <v>5744</v>
          </cell>
          <cell r="P110">
            <v>26959</v>
          </cell>
        </row>
        <row r="111">
          <cell r="O111">
            <v>2889</v>
          </cell>
          <cell r="P111">
            <v>26897</v>
          </cell>
        </row>
        <row r="112">
          <cell r="O112">
            <v>2871</v>
          </cell>
          <cell r="P112">
            <v>23785</v>
          </cell>
        </row>
        <row r="113">
          <cell r="O113">
            <v>7484</v>
          </cell>
          <cell r="P113">
            <v>25796</v>
          </cell>
        </row>
        <row r="114">
          <cell r="O114">
            <v>6074</v>
          </cell>
          <cell r="P114">
            <v>22887</v>
          </cell>
        </row>
        <row r="115">
          <cell r="O115">
            <v>17328</v>
          </cell>
          <cell r="P115">
            <v>13871</v>
          </cell>
        </row>
        <row r="116">
          <cell r="O116">
            <v>2774</v>
          </cell>
          <cell r="P116">
            <v>13257</v>
          </cell>
        </row>
        <row r="117">
          <cell r="O117">
            <v>4505</v>
          </cell>
          <cell r="P117">
            <v>15000</v>
          </cell>
        </row>
        <row r="118">
          <cell r="O118">
            <v>7428</v>
          </cell>
          <cell r="P118">
            <v>14506</v>
          </cell>
        </row>
        <row r="119">
          <cell r="O119">
            <v>11631</v>
          </cell>
          <cell r="P119">
            <v>5615</v>
          </cell>
        </row>
        <row r="120">
          <cell r="O120">
            <v>9738</v>
          </cell>
          <cell r="P120">
            <v>22952</v>
          </cell>
        </row>
        <row r="121">
          <cell r="O121">
            <v>2835</v>
          </cell>
          <cell r="P121">
            <v>2561</v>
          </cell>
        </row>
        <row r="122">
          <cell r="O122">
            <v>16959</v>
          </cell>
          <cell r="P122">
            <v>19494</v>
          </cell>
        </row>
        <row r="123">
          <cell r="O123">
            <v>2613</v>
          </cell>
          <cell r="P123">
            <v>22310</v>
          </cell>
        </row>
        <row r="124">
          <cell r="O124">
            <v>6146</v>
          </cell>
          <cell r="P124">
            <v>15480</v>
          </cell>
        </row>
        <row r="125">
          <cell r="O125">
            <v>4963</v>
          </cell>
          <cell r="P125">
            <v>4510</v>
          </cell>
        </row>
        <row r="126">
          <cell r="O126">
            <v>19537</v>
          </cell>
          <cell r="P126">
            <v>6462</v>
          </cell>
        </row>
        <row r="127">
          <cell r="O127">
            <v>6172</v>
          </cell>
          <cell r="P127">
            <v>20739</v>
          </cell>
        </row>
        <row r="128">
          <cell r="O128">
            <v>2368</v>
          </cell>
          <cell r="P128">
            <v>23300</v>
          </cell>
        </row>
        <row r="129">
          <cell r="O129">
            <v>10312</v>
          </cell>
          <cell r="P129">
            <v>3465</v>
          </cell>
        </row>
        <row r="130">
          <cell r="O130">
            <v>1675</v>
          </cell>
          <cell r="P130">
            <v>26820</v>
          </cell>
        </row>
        <row r="131">
          <cell r="O131">
            <v>2523</v>
          </cell>
          <cell r="P131">
            <v>19299</v>
          </cell>
        </row>
        <row r="132">
          <cell r="O132">
            <v>6567</v>
          </cell>
          <cell r="P132">
            <v>5549</v>
          </cell>
        </row>
        <row r="133">
          <cell r="O133">
            <v>4739</v>
          </cell>
          <cell r="P133">
            <v>16090</v>
          </cell>
        </row>
        <row r="134">
          <cell r="O134">
            <v>9208</v>
          </cell>
          <cell r="P134">
            <v>6645</v>
          </cell>
        </row>
        <row r="135">
          <cell r="O135">
            <v>4559</v>
          </cell>
          <cell r="P135">
            <v>24788</v>
          </cell>
        </row>
        <row r="136">
          <cell r="O136">
            <v>8189</v>
          </cell>
          <cell r="P136">
            <v>21196</v>
          </cell>
        </row>
        <row r="137">
          <cell r="O137">
            <v>2942</v>
          </cell>
          <cell r="P137">
            <v>8916</v>
          </cell>
        </row>
        <row r="138">
          <cell r="O138">
            <v>4941</v>
          </cell>
          <cell r="P138">
            <v>2819</v>
          </cell>
        </row>
        <row r="139">
          <cell r="O139">
            <v>10650</v>
          </cell>
          <cell r="P139">
            <v>25150</v>
          </cell>
        </row>
        <row r="140">
          <cell r="O140">
            <v>5902</v>
          </cell>
          <cell r="P140">
            <v>14590</v>
          </cell>
        </row>
        <row r="141">
          <cell r="O141">
            <v>8639</v>
          </cell>
          <cell r="P141">
            <v>24835</v>
          </cell>
        </row>
        <row r="142">
          <cell r="O142">
            <v>6347</v>
          </cell>
          <cell r="P142">
            <v>13982</v>
          </cell>
        </row>
        <row r="143">
          <cell r="O143">
            <v>4200</v>
          </cell>
          <cell r="P143">
            <v>10224</v>
          </cell>
        </row>
        <row r="144">
          <cell r="O144">
            <v>3452</v>
          </cell>
          <cell r="P144">
            <v>9752</v>
          </cell>
        </row>
        <row r="145">
          <cell r="O145">
            <v>4317</v>
          </cell>
          <cell r="P145">
            <v>2302</v>
          </cell>
        </row>
        <row r="146">
          <cell r="O146">
            <v>2632</v>
          </cell>
          <cell r="P146">
            <v>23910</v>
          </cell>
        </row>
        <row r="147">
          <cell r="O147">
            <v>4668</v>
          </cell>
          <cell r="P147">
            <v>22812</v>
          </cell>
        </row>
        <row r="148">
          <cell r="O148">
            <v>3204</v>
          </cell>
          <cell r="P148">
            <v>10415</v>
          </cell>
        </row>
        <row r="149">
          <cell r="O149">
            <v>2720</v>
          </cell>
          <cell r="P149">
            <v>11162</v>
          </cell>
        </row>
        <row r="150">
          <cell r="O150">
            <v>17181</v>
          </cell>
          <cell r="P150">
            <v>12888</v>
          </cell>
        </row>
        <row r="151">
          <cell r="O151">
            <v>2238</v>
          </cell>
          <cell r="P151">
            <v>6961</v>
          </cell>
        </row>
        <row r="152">
          <cell r="O152">
            <v>1483</v>
          </cell>
          <cell r="P152">
            <v>16102</v>
          </cell>
        </row>
        <row r="153">
          <cell r="O153">
            <v>5605</v>
          </cell>
          <cell r="P153">
            <v>8504</v>
          </cell>
        </row>
        <row r="154">
          <cell r="O154">
            <v>7295</v>
          </cell>
          <cell r="P154">
            <v>11439</v>
          </cell>
        </row>
        <row r="155">
          <cell r="O155">
            <v>2306</v>
          </cell>
          <cell r="P155">
            <v>16047</v>
          </cell>
        </row>
        <row r="156">
          <cell r="O156">
            <v>2348</v>
          </cell>
          <cell r="P156">
            <v>10901</v>
          </cell>
        </row>
        <row r="157">
          <cell r="O157">
            <v>8998</v>
          </cell>
          <cell r="P157">
            <v>15589</v>
          </cell>
        </row>
        <row r="158">
          <cell r="O158">
            <v>4319</v>
          </cell>
          <cell r="P158">
            <v>26283</v>
          </cell>
        </row>
        <row r="159">
          <cell r="O159">
            <v>6132</v>
          </cell>
          <cell r="P159">
            <v>13983</v>
          </cell>
        </row>
        <row r="160">
          <cell r="O160">
            <v>3346</v>
          </cell>
          <cell r="P160">
            <v>11873</v>
          </cell>
        </row>
        <row r="161">
          <cell r="O161">
            <v>10855</v>
          </cell>
          <cell r="P161">
            <v>8552</v>
          </cell>
        </row>
        <row r="162">
          <cell r="O162">
            <v>2231</v>
          </cell>
          <cell r="P162">
            <v>11314</v>
          </cell>
        </row>
        <row r="163">
          <cell r="O163">
            <v>2323</v>
          </cell>
          <cell r="P163">
            <v>11992</v>
          </cell>
        </row>
        <row r="164">
          <cell r="O164">
            <v>2024</v>
          </cell>
          <cell r="P164">
            <v>5970</v>
          </cell>
        </row>
        <row r="165">
          <cell r="O165">
            <v>2713</v>
          </cell>
          <cell r="P165">
            <v>6672</v>
          </cell>
        </row>
        <row r="166">
          <cell r="O166">
            <v>9439</v>
          </cell>
          <cell r="P166">
            <v>23402</v>
          </cell>
        </row>
        <row r="167">
          <cell r="O167">
            <v>2566</v>
          </cell>
          <cell r="P167">
            <v>25326</v>
          </cell>
        </row>
        <row r="168">
          <cell r="O168">
            <v>19926</v>
          </cell>
          <cell r="P168">
            <v>17053</v>
          </cell>
        </row>
        <row r="169">
          <cell r="O169">
            <v>2451</v>
          </cell>
          <cell r="P169">
            <v>4609</v>
          </cell>
        </row>
        <row r="170">
          <cell r="O170">
            <v>9419</v>
          </cell>
          <cell r="P170">
            <v>8053</v>
          </cell>
        </row>
        <row r="171">
          <cell r="O171">
            <v>8686</v>
          </cell>
          <cell r="P171">
            <v>12930</v>
          </cell>
        </row>
        <row r="172">
          <cell r="O172">
            <v>3038</v>
          </cell>
          <cell r="P172">
            <v>12430</v>
          </cell>
        </row>
        <row r="173">
          <cell r="O173">
            <v>3058</v>
          </cell>
          <cell r="P173">
            <v>13364</v>
          </cell>
        </row>
        <row r="174">
          <cell r="O174">
            <v>2325</v>
          </cell>
          <cell r="P174">
            <v>20989</v>
          </cell>
        </row>
        <row r="175">
          <cell r="O175">
            <v>2088</v>
          </cell>
          <cell r="P175">
            <v>15062</v>
          </cell>
        </row>
        <row r="176">
          <cell r="O176">
            <v>3072</v>
          </cell>
          <cell r="P176">
            <v>11012</v>
          </cell>
        </row>
        <row r="177">
          <cell r="O177">
            <v>5006</v>
          </cell>
          <cell r="P177">
            <v>6319</v>
          </cell>
        </row>
        <row r="178">
          <cell r="O178">
            <v>4257</v>
          </cell>
          <cell r="P178">
            <v>13939</v>
          </cell>
        </row>
        <row r="179">
          <cell r="O179">
            <v>2500</v>
          </cell>
          <cell r="P179">
            <v>10515</v>
          </cell>
        </row>
        <row r="180">
          <cell r="O180">
            <v>1102</v>
          </cell>
          <cell r="P180">
            <v>9241</v>
          </cell>
        </row>
        <row r="181">
          <cell r="O181">
            <v>10453</v>
          </cell>
          <cell r="P181">
            <v>2137</v>
          </cell>
        </row>
        <row r="182">
          <cell r="O182">
            <v>2288</v>
          </cell>
          <cell r="P182">
            <v>6319</v>
          </cell>
        </row>
        <row r="183">
          <cell r="O183">
            <v>3929</v>
          </cell>
          <cell r="P183">
            <v>6984</v>
          </cell>
        </row>
        <row r="184">
          <cell r="O184">
            <v>2311</v>
          </cell>
          <cell r="P184">
            <v>5711</v>
          </cell>
        </row>
        <row r="185">
          <cell r="O185">
            <v>3140</v>
          </cell>
          <cell r="P185">
            <v>21728</v>
          </cell>
        </row>
        <row r="186">
          <cell r="O186">
            <v>3690</v>
          </cell>
          <cell r="P186">
            <v>3425</v>
          </cell>
        </row>
        <row r="187">
          <cell r="O187">
            <v>4450</v>
          </cell>
          <cell r="P187">
            <v>26250</v>
          </cell>
        </row>
        <row r="188">
          <cell r="O188">
            <v>2756</v>
          </cell>
          <cell r="P188">
            <v>4673</v>
          </cell>
        </row>
        <row r="189">
          <cell r="O189">
            <v>19033</v>
          </cell>
          <cell r="P189">
            <v>6499</v>
          </cell>
        </row>
        <row r="190">
          <cell r="O190">
            <v>18722</v>
          </cell>
          <cell r="P190">
            <v>13339</v>
          </cell>
        </row>
        <row r="191">
          <cell r="O191">
            <v>9547</v>
          </cell>
          <cell r="P191">
            <v>14074</v>
          </cell>
        </row>
        <row r="192">
          <cell r="O192">
            <v>13734</v>
          </cell>
          <cell r="P192">
            <v>7192</v>
          </cell>
        </row>
        <row r="193">
          <cell r="O193">
            <v>19999</v>
          </cell>
          <cell r="P193">
            <v>5678</v>
          </cell>
        </row>
        <row r="194">
          <cell r="O194">
            <v>2279</v>
          </cell>
          <cell r="P194">
            <v>11781</v>
          </cell>
        </row>
        <row r="195">
          <cell r="O195">
            <v>5916</v>
          </cell>
          <cell r="P195">
            <v>15497</v>
          </cell>
        </row>
        <row r="196">
          <cell r="O196">
            <v>2089</v>
          </cell>
          <cell r="P196">
            <v>5228</v>
          </cell>
        </row>
        <row r="197">
          <cell r="O197">
            <v>16792</v>
          </cell>
          <cell r="P197">
            <v>20462</v>
          </cell>
        </row>
        <row r="198">
          <cell r="O198">
            <v>3564</v>
          </cell>
          <cell r="P198">
            <v>22977</v>
          </cell>
        </row>
        <row r="199">
          <cell r="O199">
            <v>4425</v>
          </cell>
          <cell r="P199">
            <v>15986</v>
          </cell>
        </row>
        <row r="200">
          <cell r="O200">
            <v>5265</v>
          </cell>
          <cell r="P200">
            <v>16439</v>
          </cell>
        </row>
        <row r="201">
          <cell r="O201">
            <v>6553</v>
          </cell>
          <cell r="P201">
            <v>7259</v>
          </cell>
        </row>
        <row r="202">
          <cell r="O202">
            <v>6261</v>
          </cell>
          <cell r="P202">
            <v>4185</v>
          </cell>
        </row>
        <row r="203">
          <cell r="O203">
            <v>4298</v>
          </cell>
          <cell r="P203">
            <v>9679</v>
          </cell>
        </row>
        <row r="204">
          <cell r="O204">
            <v>6804</v>
          </cell>
          <cell r="P204">
            <v>23793</v>
          </cell>
        </row>
        <row r="205">
          <cell r="O205">
            <v>3815</v>
          </cell>
          <cell r="P205">
            <v>5972</v>
          </cell>
        </row>
        <row r="206">
          <cell r="O206">
            <v>2741</v>
          </cell>
          <cell r="P206">
            <v>16523</v>
          </cell>
        </row>
        <row r="207">
          <cell r="O207">
            <v>6673</v>
          </cell>
          <cell r="P207">
            <v>11354</v>
          </cell>
        </row>
        <row r="208">
          <cell r="O208">
            <v>7639</v>
          </cell>
          <cell r="P208">
            <v>24525</v>
          </cell>
        </row>
        <row r="209">
          <cell r="O209">
            <v>2328</v>
          </cell>
          <cell r="P209">
            <v>12392</v>
          </cell>
        </row>
        <row r="210">
          <cell r="O210">
            <v>2153</v>
          </cell>
          <cell r="P210">
            <v>7703</v>
          </cell>
        </row>
        <row r="211">
          <cell r="O211">
            <v>4876</v>
          </cell>
          <cell r="P211">
            <v>14242</v>
          </cell>
        </row>
        <row r="212">
          <cell r="O212">
            <v>9396</v>
          </cell>
          <cell r="P212">
            <v>12368</v>
          </cell>
        </row>
        <row r="213">
          <cell r="O213">
            <v>10400</v>
          </cell>
          <cell r="P213">
            <v>25812</v>
          </cell>
        </row>
        <row r="214">
          <cell r="O214">
            <v>8474</v>
          </cell>
          <cell r="P214">
            <v>20925</v>
          </cell>
        </row>
        <row r="215">
          <cell r="O215">
            <v>9981</v>
          </cell>
          <cell r="P215">
            <v>12916</v>
          </cell>
        </row>
        <row r="216">
          <cell r="O216">
            <v>12490</v>
          </cell>
          <cell r="P216">
            <v>15736</v>
          </cell>
        </row>
        <row r="217">
          <cell r="O217">
            <v>2657</v>
          </cell>
          <cell r="P217">
            <v>8556</v>
          </cell>
        </row>
        <row r="218">
          <cell r="O218">
            <v>13591</v>
          </cell>
          <cell r="P218">
            <v>14674</v>
          </cell>
        </row>
        <row r="219">
          <cell r="O219">
            <v>6696</v>
          </cell>
          <cell r="P219">
            <v>22967</v>
          </cell>
        </row>
        <row r="220">
          <cell r="O220">
            <v>2058</v>
          </cell>
          <cell r="P220">
            <v>19757</v>
          </cell>
        </row>
        <row r="221">
          <cell r="O221">
            <v>8865</v>
          </cell>
          <cell r="P221">
            <v>16840</v>
          </cell>
        </row>
        <row r="222">
          <cell r="O222">
            <v>5940</v>
          </cell>
          <cell r="P222">
            <v>17011</v>
          </cell>
        </row>
        <row r="223">
          <cell r="O223">
            <v>5914</v>
          </cell>
          <cell r="P223">
            <v>9945</v>
          </cell>
        </row>
        <row r="224">
          <cell r="O224">
            <v>2622</v>
          </cell>
          <cell r="P224">
            <v>13248</v>
          </cell>
        </row>
        <row r="225">
          <cell r="O225">
            <v>12185</v>
          </cell>
          <cell r="P225">
            <v>10056</v>
          </cell>
        </row>
        <row r="226">
          <cell r="O226">
            <v>10609</v>
          </cell>
          <cell r="P226">
            <v>9647</v>
          </cell>
        </row>
        <row r="227">
          <cell r="O227">
            <v>4345</v>
          </cell>
          <cell r="P227">
            <v>4381</v>
          </cell>
        </row>
        <row r="228">
          <cell r="O228">
            <v>2177</v>
          </cell>
          <cell r="P228">
            <v>8456</v>
          </cell>
        </row>
        <row r="229">
          <cell r="O229">
            <v>2793</v>
          </cell>
          <cell r="P229">
            <v>2539</v>
          </cell>
        </row>
        <row r="230">
          <cell r="O230">
            <v>7918</v>
          </cell>
          <cell r="P230">
            <v>6599</v>
          </cell>
        </row>
        <row r="231">
          <cell r="O231">
            <v>8789</v>
          </cell>
          <cell r="P231">
            <v>9096</v>
          </cell>
        </row>
        <row r="232">
          <cell r="O232">
            <v>2389</v>
          </cell>
          <cell r="P232">
            <v>14961</v>
          </cell>
        </row>
        <row r="233">
          <cell r="O233">
            <v>3212</v>
          </cell>
          <cell r="P233">
            <v>3300</v>
          </cell>
        </row>
        <row r="234">
          <cell r="O234">
            <v>19232</v>
          </cell>
          <cell r="P234">
            <v>4933</v>
          </cell>
        </row>
        <row r="235">
          <cell r="O235">
            <v>2267</v>
          </cell>
          <cell r="P235">
            <v>25657</v>
          </cell>
        </row>
        <row r="236">
          <cell r="O236">
            <v>19517</v>
          </cell>
          <cell r="P236">
            <v>24118</v>
          </cell>
        </row>
        <row r="237">
          <cell r="O237">
            <v>2436</v>
          </cell>
          <cell r="P237">
            <v>22149</v>
          </cell>
        </row>
        <row r="238">
          <cell r="O238">
            <v>16064</v>
          </cell>
          <cell r="P238">
            <v>7744</v>
          </cell>
        </row>
        <row r="239">
          <cell r="O239">
            <v>2707</v>
          </cell>
          <cell r="P239">
            <v>21509</v>
          </cell>
        </row>
        <row r="240">
          <cell r="O240">
            <v>19068</v>
          </cell>
          <cell r="P240">
            <v>21030</v>
          </cell>
        </row>
        <row r="241">
          <cell r="O241">
            <v>3931</v>
          </cell>
          <cell r="P241">
            <v>20990</v>
          </cell>
        </row>
        <row r="242">
          <cell r="O242">
            <v>3730</v>
          </cell>
          <cell r="P242">
            <v>9571</v>
          </cell>
        </row>
        <row r="243">
          <cell r="O243">
            <v>2232</v>
          </cell>
          <cell r="P243">
            <v>15417</v>
          </cell>
        </row>
        <row r="244">
          <cell r="O244">
            <v>4465</v>
          </cell>
          <cell r="P244">
            <v>12069</v>
          </cell>
        </row>
        <row r="245">
          <cell r="O245">
            <v>3072</v>
          </cell>
          <cell r="P245">
            <v>19877</v>
          </cell>
        </row>
        <row r="246">
          <cell r="O246">
            <v>3319</v>
          </cell>
          <cell r="P246">
            <v>24447</v>
          </cell>
        </row>
        <row r="247">
          <cell r="O247">
            <v>19202</v>
          </cell>
          <cell r="P247">
            <v>15970</v>
          </cell>
        </row>
        <row r="248">
          <cell r="O248">
            <v>13675</v>
          </cell>
          <cell r="P248">
            <v>13523</v>
          </cell>
        </row>
        <row r="249">
          <cell r="O249">
            <v>2911</v>
          </cell>
          <cell r="P249">
            <v>14776</v>
          </cell>
        </row>
        <row r="250">
          <cell r="O250">
            <v>5957</v>
          </cell>
          <cell r="P250">
            <v>23687</v>
          </cell>
        </row>
        <row r="251">
          <cell r="O251">
            <v>3920</v>
          </cell>
          <cell r="P251">
            <v>18697</v>
          </cell>
        </row>
        <row r="252">
          <cell r="O252">
            <v>6434</v>
          </cell>
          <cell r="P252">
            <v>5118</v>
          </cell>
        </row>
        <row r="253">
          <cell r="O253">
            <v>10048</v>
          </cell>
          <cell r="P253">
            <v>22573</v>
          </cell>
        </row>
        <row r="254">
          <cell r="O254">
            <v>10938</v>
          </cell>
          <cell r="P254">
            <v>6420</v>
          </cell>
        </row>
        <row r="255">
          <cell r="O255">
            <v>2340</v>
          </cell>
          <cell r="P255">
            <v>22673</v>
          </cell>
        </row>
        <row r="256">
          <cell r="O256">
            <v>6545</v>
          </cell>
          <cell r="P256">
            <v>23016</v>
          </cell>
        </row>
        <row r="257">
          <cell r="O257">
            <v>6931</v>
          </cell>
          <cell r="P257">
            <v>10732</v>
          </cell>
        </row>
        <row r="258">
          <cell r="O258">
            <v>4898</v>
          </cell>
          <cell r="P258">
            <v>7505</v>
          </cell>
        </row>
        <row r="259">
          <cell r="O259">
            <v>2593</v>
          </cell>
          <cell r="P259">
            <v>8007</v>
          </cell>
        </row>
        <row r="260">
          <cell r="O260">
            <v>19436</v>
          </cell>
          <cell r="P260">
            <v>5949</v>
          </cell>
        </row>
        <row r="261">
          <cell r="O261">
            <v>2723</v>
          </cell>
          <cell r="P261">
            <v>23231</v>
          </cell>
        </row>
        <row r="262">
          <cell r="O262">
            <v>3479</v>
          </cell>
          <cell r="P262">
            <v>11652</v>
          </cell>
        </row>
        <row r="263">
          <cell r="O263">
            <v>2794</v>
          </cell>
          <cell r="P263">
            <v>26062</v>
          </cell>
        </row>
        <row r="264">
          <cell r="O264">
            <v>5249</v>
          </cell>
          <cell r="P264">
            <v>19682</v>
          </cell>
        </row>
        <row r="265">
          <cell r="O265">
            <v>2176</v>
          </cell>
          <cell r="P265">
            <v>19737</v>
          </cell>
        </row>
        <row r="266">
          <cell r="O266">
            <v>16872</v>
          </cell>
          <cell r="P266">
            <v>14977</v>
          </cell>
        </row>
        <row r="267">
          <cell r="O267">
            <v>3485</v>
          </cell>
          <cell r="P267">
            <v>14935</v>
          </cell>
        </row>
        <row r="268">
          <cell r="O268">
            <v>6644</v>
          </cell>
          <cell r="P268">
            <v>3687</v>
          </cell>
        </row>
        <row r="269">
          <cell r="O269">
            <v>5582</v>
          </cell>
          <cell r="P269">
            <v>14408</v>
          </cell>
        </row>
        <row r="270">
          <cell r="O270">
            <v>4000</v>
          </cell>
          <cell r="P270">
            <v>18384</v>
          </cell>
        </row>
        <row r="271">
          <cell r="O271">
            <v>13496</v>
          </cell>
          <cell r="P271">
            <v>7501</v>
          </cell>
        </row>
        <row r="272">
          <cell r="O272">
            <v>3210</v>
          </cell>
          <cell r="P272">
            <v>20251</v>
          </cell>
        </row>
        <row r="273">
          <cell r="O273">
            <v>19045</v>
          </cell>
          <cell r="P273">
            <v>18938</v>
          </cell>
        </row>
        <row r="274">
          <cell r="O274">
            <v>11849</v>
          </cell>
          <cell r="P274">
            <v>10268</v>
          </cell>
        </row>
        <row r="275">
          <cell r="O275">
            <v>2070</v>
          </cell>
          <cell r="P275">
            <v>2613</v>
          </cell>
        </row>
        <row r="276">
          <cell r="O276">
            <v>6502</v>
          </cell>
          <cell r="P276">
            <v>22825</v>
          </cell>
        </row>
        <row r="277">
          <cell r="O277">
            <v>3230</v>
          </cell>
          <cell r="P277">
            <v>10531</v>
          </cell>
        </row>
        <row r="278">
          <cell r="O278">
            <v>13603</v>
          </cell>
          <cell r="P278">
            <v>11677</v>
          </cell>
        </row>
        <row r="279">
          <cell r="O279">
            <v>11996</v>
          </cell>
          <cell r="P279">
            <v>19100</v>
          </cell>
        </row>
        <row r="280">
          <cell r="O280">
            <v>5605</v>
          </cell>
          <cell r="P280">
            <v>19191</v>
          </cell>
        </row>
        <row r="281">
          <cell r="O281">
            <v>6397</v>
          </cell>
          <cell r="P281">
            <v>26767</v>
          </cell>
        </row>
        <row r="282">
          <cell r="O282">
            <v>19144</v>
          </cell>
          <cell r="P282">
            <v>15815</v>
          </cell>
        </row>
        <row r="283">
          <cell r="O283">
            <v>17584</v>
          </cell>
          <cell r="P283">
            <v>21016</v>
          </cell>
        </row>
        <row r="284">
          <cell r="O284">
            <v>4907</v>
          </cell>
          <cell r="P284">
            <v>24532</v>
          </cell>
        </row>
        <row r="285">
          <cell r="O285">
            <v>4554</v>
          </cell>
          <cell r="P285">
            <v>20260</v>
          </cell>
        </row>
        <row r="286">
          <cell r="O286">
            <v>5415</v>
          </cell>
          <cell r="P286">
            <v>15972</v>
          </cell>
        </row>
        <row r="287">
          <cell r="O287">
            <v>4741</v>
          </cell>
          <cell r="P287">
            <v>22722</v>
          </cell>
        </row>
        <row r="288">
          <cell r="O288">
            <v>2115</v>
          </cell>
          <cell r="P288">
            <v>15881</v>
          </cell>
        </row>
        <row r="289">
          <cell r="O289">
            <v>3161</v>
          </cell>
          <cell r="P289">
            <v>19920</v>
          </cell>
        </row>
        <row r="290">
          <cell r="O290">
            <v>5745</v>
          </cell>
          <cell r="P290">
            <v>18899</v>
          </cell>
        </row>
        <row r="291">
          <cell r="O291">
            <v>2373</v>
          </cell>
          <cell r="P291">
            <v>14180</v>
          </cell>
        </row>
        <row r="292">
          <cell r="O292">
            <v>3310</v>
          </cell>
          <cell r="P292">
            <v>4488</v>
          </cell>
        </row>
        <row r="293">
          <cell r="O293">
            <v>18665</v>
          </cell>
          <cell r="P293">
            <v>25594</v>
          </cell>
        </row>
        <row r="294">
          <cell r="O294">
            <v>4485</v>
          </cell>
          <cell r="P294">
            <v>26285</v>
          </cell>
        </row>
        <row r="295">
          <cell r="O295">
            <v>2789</v>
          </cell>
          <cell r="P295">
            <v>3909</v>
          </cell>
        </row>
        <row r="296">
          <cell r="O296">
            <v>5828</v>
          </cell>
          <cell r="P296">
            <v>8450</v>
          </cell>
        </row>
        <row r="297">
          <cell r="O297">
            <v>2326</v>
          </cell>
          <cell r="P297">
            <v>11411</v>
          </cell>
        </row>
        <row r="298">
          <cell r="O298">
            <v>13525</v>
          </cell>
          <cell r="P298">
            <v>14864</v>
          </cell>
        </row>
        <row r="299">
          <cell r="O299">
            <v>1420</v>
          </cell>
          <cell r="P299">
            <v>25233</v>
          </cell>
        </row>
        <row r="300">
          <cell r="O300">
            <v>8020</v>
          </cell>
          <cell r="P300">
            <v>5100</v>
          </cell>
        </row>
        <row r="301">
          <cell r="O301">
            <v>3688</v>
          </cell>
          <cell r="P301">
            <v>7122</v>
          </cell>
        </row>
        <row r="302">
          <cell r="O302">
            <v>5482</v>
          </cell>
          <cell r="P302">
            <v>16321</v>
          </cell>
        </row>
        <row r="303">
          <cell r="O303">
            <v>16015</v>
          </cell>
          <cell r="P303">
            <v>15896</v>
          </cell>
        </row>
        <row r="304">
          <cell r="O304">
            <v>1200</v>
          </cell>
          <cell r="P304">
            <v>9724</v>
          </cell>
        </row>
        <row r="305">
          <cell r="O305">
            <v>5661</v>
          </cell>
          <cell r="P305">
            <v>4824</v>
          </cell>
        </row>
        <row r="306">
          <cell r="O306">
            <v>6929</v>
          </cell>
          <cell r="P306">
            <v>12241</v>
          </cell>
        </row>
        <row r="307">
          <cell r="O307">
            <v>9613</v>
          </cell>
          <cell r="P307">
            <v>10942</v>
          </cell>
        </row>
        <row r="308">
          <cell r="O308">
            <v>5674</v>
          </cell>
          <cell r="P308">
            <v>6927</v>
          </cell>
        </row>
        <row r="309">
          <cell r="O309">
            <v>5484</v>
          </cell>
          <cell r="P309">
            <v>16985</v>
          </cell>
        </row>
        <row r="310">
          <cell r="O310">
            <v>12061</v>
          </cell>
          <cell r="P310">
            <v>26707</v>
          </cell>
        </row>
        <row r="311">
          <cell r="O311">
            <v>5660</v>
          </cell>
          <cell r="P311">
            <v>17056</v>
          </cell>
        </row>
        <row r="312">
          <cell r="O312">
            <v>4821</v>
          </cell>
          <cell r="P312">
            <v>10077</v>
          </cell>
        </row>
        <row r="313">
          <cell r="O313">
            <v>6410</v>
          </cell>
          <cell r="P313">
            <v>17822</v>
          </cell>
        </row>
        <row r="314">
          <cell r="O314">
            <v>5210</v>
          </cell>
          <cell r="P314">
            <v>20308</v>
          </cell>
        </row>
        <row r="315">
          <cell r="O315">
            <v>2695</v>
          </cell>
          <cell r="P315">
            <v>7747</v>
          </cell>
        </row>
        <row r="316">
          <cell r="O316">
            <v>11878</v>
          </cell>
          <cell r="P316">
            <v>23364</v>
          </cell>
        </row>
        <row r="317">
          <cell r="O317">
            <v>17068</v>
          </cell>
          <cell r="P317">
            <v>5355</v>
          </cell>
        </row>
        <row r="318">
          <cell r="O318">
            <v>2455</v>
          </cell>
          <cell r="P318">
            <v>10675</v>
          </cell>
        </row>
        <row r="319">
          <cell r="O319">
            <v>13964</v>
          </cell>
          <cell r="P319">
            <v>17810</v>
          </cell>
        </row>
        <row r="320">
          <cell r="O320">
            <v>4941</v>
          </cell>
          <cell r="P320">
            <v>17747</v>
          </cell>
        </row>
        <row r="321">
          <cell r="O321">
            <v>2478</v>
          </cell>
          <cell r="P321">
            <v>20938</v>
          </cell>
        </row>
        <row r="322">
          <cell r="O322">
            <v>5228</v>
          </cell>
          <cell r="P322">
            <v>24624</v>
          </cell>
        </row>
        <row r="323">
          <cell r="O323">
            <v>4478</v>
          </cell>
          <cell r="P323">
            <v>5242</v>
          </cell>
        </row>
        <row r="324">
          <cell r="O324">
            <v>7547</v>
          </cell>
          <cell r="P324">
            <v>7143</v>
          </cell>
        </row>
        <row r="325">
          <cell r="O325">
            <v>5055</v>
          </cell>
          <cell r="P325">
            <v>10557</v>
          </cell>
        </row>
        <row r="326">
          <cell r="O326">
            <v>3464</v>
          </cell>
          <cell r="P326">
            <v>24737</v>
          </cell>
        </row>
        <row r="327">
          <cell r="O327">
            <v>5775</v>
          </cell>
          <cell r="P327">
            <v>11934</v>
          </cell>
        </row>
        <row r="328">
          <cell r="O328">
            <v>8943</v>
          </cell>
          <cell r="P328">
            <v>14034</v>
          </cell>
        </row>
        <row r="329">
          <cell r="O329">
            <v>19272</v>
          </cell>
          <cell r="P329">
            <v>21141</v>
          </cell>
        </row>
        <row r="330">
          <cell r="O330">
            <v>5238</v>
          </cell>
          <cell r="P330">
            <v>17778</v>
          </cell>
        </row>
        <row r="331">
          <cell r="O331">
            <v>4682</v>
          </cell>
          <cell r="P331">
            <v>4317</v>
          </cell>
        </row>
        <row r="332">
          <cell r="O332">
            <v>18300</v>
          </cell>
          <cell r="P332">
            <v>16375</v>
          </cell>
        </row>
        <row r="333">
          <cell r="O333">
            <v>5257</v>
          </cell>
          <cell r="P333">
            <v>6227</v>
          </cell>
        </row>
        <row r="334">
          <cell r="O334">
            <v>6349</v>
          </cell>
          <cell r="P334">
            <v>22107</v>
          </cell>
        </row>
        <row r="335">
          <cell r="O335">
            <v>4869</v>
          </cell>
          <cell r="P335">
            <v>16885</v>
          </cell>
        </row>
        <row r="336">
          <cell r="O336">
            <v>9985</v>
          </cell>
          <cell r="P336">
            <v>9262</v>
          </cell>
        </row>
        <row r="337">
          <cell r="O337">
            <v>3697</v>
          </cell>
          <cell r="P337">
            <v>9278</v>
          </cell>
        </row>
        <row r="338">
          <cell r="O338">
            <v>7457</v>
          </cell>
          <cell r="P338">
            <v>13273</v>
          </cell>
        </row>
        <row r="339">
          <cell r="O339">
            <v>2119</v>
          </cell>
          <cell r="P339">
            <v>4759</v>
          </cell>
        </row>
        <row r="340">
          <cell r="O340">
            <v>3983</v>
          </cell>
          <cell r="P340">
            <v>7621</v>
          </cell>
        </row>
        <row r="341">
          <cell r="O341">
            <v>6118</v>
          </cell>
          <cell r="P341">
            <v>5431</v>
          </cell>
        </row>
        <row r="342">
          <cell r="O342">
            <v>6214</v>
          </cell>
          <cell r="P342">
            <v>3415</v>
          </cell>
        </row>
        <row r="343">
          <cell r="O343">
            <v>6347</v>
          </cell>
          <cell r="P343">
            <v>23177</v>
          </cell>
        </row>
        <row r="344">
          <cell r="O344">
            <v>11510</v>
          </cell>
          <cell r="P344">
            <v>15682</v>
          </cell>
        </row>
        <row r="345">
          <cell r="O345">
            <v>7143</v>
          </cell>
          <cell r="P345">
            <v>25713</v>
          </cell>
        </row>
        <row r="346">
          <cell r="O346">
            <v>8268</v>
          </cell>
          <cell r="P346">
            <v>11866</v>
          </cell>
        </row>
        <row r="347">
          <cell r="O347">
            <v>8095</v>
          </cell>
          <cell r="P347">
            <v>18264</v>
          </cell>
        </row>
        <row r="348">
          <cell r="O348">
            <v>2904</v>
          </cell>
          <cell r="P348">
            <v>16092</v>
          </cell>
        </row>
        <row r="349">
          <cell r="O349">
            <v>6032</v>
          </cell>
          <cell r="P349">
            <v>10110</v>
          </cell>
        </row>
        <row r="350">
          <cell r="O350">
            <v>2976</v>
          </cell>
          <cell r="P350">
            <v>25751</v>
          </cell>
        </row>
        <row r="351">
          <cell r="O351">
            <v>15992</v>
          </cell>
          <cell r="P351">
            <v>15901</v>
          </cell>
        </row>
        <row r="352">
          <cell r="O352">
            <v>4649</v>
          </cell>
          <cell r="P352">
            <v>16928</v>
          </cell>
        </row>
        <row r="353">
          <cell r="O353">
            <v>2696</v>
          </cell>
          <cell r="P353">
            <v>24017</v>
          </cell>
        </row>
        <row r="354">
          <cell r="O354">
            <v>2370</v>
          </cell>
          <cell r="P354">
            <v>3956</v>
          </cell>
        </row>
        <row r="355">
          <cell r="O355">
            <v>12504</v>
          </cell>
          <cell r="P355">
            <v>23978</v>
          </cell>
        </row>
        <row r="356">
          <cell r="O356">
            <v>5974</v>
          </cell>
          <cell r="P356">
            <v>17001</v>
          </cell>
        </row>
        <row r="357">
          <cell r="O357">
            <v>4736</v>
          </cell>
          <cell r="P357">
            <v>6069</v>
          </cell>
        </row>
        <row r="358">
          <cell r="O358">
            <v>5296</v>
          </cell>
          <cell r="P358">
            <v>20156</v>
          </cell>
        </row>
        <row r="359">
          <cell r="O359">
            <v>6781</v>
          </cell>
          <cell r="P359">
            <v>17078</v>
          </cell>
        </row>
        <row r="360">
          <cell r="O360">
            <v>2174</v>
          </cell>
          <cell r="P360">
            <v>9150</v>
          </cell>
        </row>
        <row r="361">
          <cell r="O361">
            <v>6653</v>
          </cell>
          <cell r="P361">
            <v>15276</v>
          </cell>
        </row>
        <row r="362">
          <cell r="O362">
            <v>9699</v>
          </cell>
          <cell r="P362">
            <v>7246</v>
          </cell>
        </row>
        <row r="363">
          <cell r="O363">
            <v>6755</v>
          </cell>
          <cell r="P363">
            <v>2967</v>
          </cell>
        </row>
        <row r="364">
          <cell r="O364">
            <v>2213</v>
          </cell>
          <cell r="P364">
            <v>22495</v>
          </cell>
        </row>
        <row r="365">
          <cell r="O365">
            <v>2610</v>
          </cell>
          <cell r="P365">
            <v>2851</v>
          </cell>
        </row>
        <row r="366">
          <cell r="O366">
            <v>2851</v>
          </cell>
          <cell r="P366">
            <v>9150</v>
          </cell>
        </row>
        <row r="367">
          <cell r="O367">
            <v>3452</v>
          </cell>
          <cell r="P367">
            <v>17663</v>
          </cell>
        </row>
        <row r="368">
          <cell r="O368">
            <v>5258</v>
          </cell>
          <cell r="P368">
            <v>16044</v>
          </cell>
        </row>
        <row r="369">
          <cell r="O369">
            <v>9355</v>
          </cell>
          <cell r="P369">
            <v>9558</v>
          </cell>
        </row>
        <row r="370">
          <cell r="O370">
            <v>10496</v>
          </cell>
          <cell r="P370">
            <v>2755</v>
          </cell>
        </row>
        <row r="371">
          <cell r="O371">
            <v>6380</v>
          </cell>
          <cell r="P371">
            <v>6110</v>
          </cell>
        </row>
        <row r="372">
          <cell r="O372">
            <v>2657</v>
          </cell>
          <cell r="P372">
            <v>7551</v>
          </cell>
        </row>
        <row r="373">
          <cell r="O373">
            <v>2716</v>
          </cell>
          <cell r="P373">
            <v>25422</v>
          </cell>
        </row>
        <row r="374">
          <cell r="O374">
            <v>2201</v>
          </cell>
          <cell r="P374">
            <v>18168</v>
          </cell>
        </row>
        <row r="375">
          <cell r="O375">
            <v>6540</v>
          </cell>
          <cell r="P375">
            <v>19394</v>
          </cell>
        </row>
        <row r="376">
          <cell r="O376">
            <v>3816</v>
          </cell>
          <cell r="P376">
            <v>17881</v>
          </cell>
        </row>
        <row r="377">
          <cell r="O377">
            <v>5253</v>
          </cell>
          <cell r="P377">
            <v>20750</v>
          </cell>
        </row>
        <row r="378">
          <cell r="O378">
            <v>10965</v>
          </cell>
          <cell r="P378">
            <v>12066</v>
          </cell>
        </row>
        <row r="379">
          <cell r="O379">
            <v>4936</v>
          </cell>
          <cell r="P379">
            <v>14862</v>
          </cell>
        </row>
        <row r="380">
          <cell r="O380">
            <v>2543</v>
          </cell>
          <cell r="P380">
            <v>11868</v>
          </cell>
        </row>
        <row r="381">
          <cell r="O381">
            <v>5304</v>
          </cell>
          <cell r="P381">
            <v>4652</v>
          </cell>
        </row>
        <row r="382">
          <cell r="O382">
            <v>16659</v>
          </cell>
          <cell r="P382">
            <v>23258</v>
          </cell>
        </row>
        <row r="383">
          <cell r="O383">
            <v>4260</v>
          </cell>
          <cell r="P383">
            <v>5915</v>
          </cell>
        </row>
        <row r="384">
          <cell r="O384">
            <v>2476</v>
          </cell>
          <cell r="P384">
            <v>17434</v>
          </cell>
        </row>
        <row r="385">
          <cell r="O385">
            <v>3102</v>
          </cell>
          <cell r="P385">
            <v>6582</v>
          </cell>
        </row>
        <row r="386">
          <cell r="O386">
            <v>2244</v>
          </cell>
          <cell r="P386">
            <v>24440</v>
          </cell>
        </row>
        <row r="387">
          <cell r="O387">
            <v>7596</v>
          </cell>
          <cell r="P387">
            <v>3809</v>
          </cell>
        </row>
        <row r="388">
          <cell r="O388">
            <v>2285</v>
          </cell>
          <cell r="P388">
            <v>3427</v>
          </cell>
        </row>
        <row r="389">
          <cell r="O389">
            <v>3034</v>
          </cell>
          <cell r="P389">
            <v>26914</v>
          </cell>
        </row>
        <row r="390">
          <cell r="O390">
            <v>5715</v>
          </cell>
          <cell r="P390">
            <v>22553</v>
          </cell>
        </row>
        <row r="391">
          <cell r="O391">
            <v>2576</v>
          </cell>
          <cell r="P391">
            <v>20490</v>
          </cell>
        </row>
        <row r="392">
          <cell r="O392">
            <v>4197</v>
          </cell>
          <cell r="P392">
            <v>21123</v>
          </cell>
        </row>
        <row r="393">
          <cell r="O393">
            <v>14336</v>
          </cell>
          <cell r="P393">
            <v>4345</v>
          </cell>
        </row>
        <row r="394">
          <cell r="O394">
            <v>3448</v>
          </cell>
          <cell r="P394">
            <v>13436</v>
          </cell>
        </row>
        <row r="395">
          <cell r="O395">
            <v>19406</v>
          </cell>
          <cell r="P395">
            <v>8509</v>
          </cell>
        </row>
        <row r="396">
          <cell r="O396">
            <v>6538</v>
          </cell>
          <cell r="P396">
            <v>12740</v>
          </cell>
        </row>
        <row r="397">
          <cell r="O397">
            <v>4306</v>
          </cell>
          <cell r="P397">
            <v>4156</v>
          </cell>
        </row>
        <row r="398">
          <cell r="O398">
            <v>2258</v>
          </cell>
          <cell r="P398">
            <v>15238</v>
          </cell>
        </row>
        <row r="399">
          <cell r="O399">
            <v>4522</v>
          </cell>
          <cell r="P399">
            <v>2227</v>
          </cell>
        </row>
        <row r="400">
          <cell r="O400">
            <v>4487</v>
          </cell>
          <cell r="P400">
            <v>12090</v>
          </cell>
        </row>
        <row r="401">
          <cell r="O401">
            <v>4449</v>
          </cell>
          <cell r="P401">
            <v>23866</v>
          </cell>
        </row>
        <row r="402">
          <cell r="O402">
            <v>2218</v>
          </cell>
          <cell r="P402">
            <v>16193</v>
          </cell>
        </row>
        <row r="403">
          <cell r="O403">
            <v>19197</v>
          </cell>
          <cell r="P403">
            <v>8213</v>
          </cell>
        </row>
        <row r="404">
          <cell r="O404">
            <v>13212</v>
          </cell>
          <cell r="P404">
            <v>18256</v>
          </cell>
        </row>
        <row r="405">
          <cell r="O405">
            <v>6577</v>
          </cell>
          <cell r="P405">
            <v>19558</v>
          </cell>
        </row>
        <row r="406">
          <cell r="O406">
            <v>8392</v>
          </cell>
          <cell r="P406">
            <v>19566</v>
          </cell>
        </row>
        <row r="407">
          <cell r="O407">
            <v>4558</v>
          </cell>
          <cell r="P407">
            <v>13535</v>
          </cell>
        </row>
        <row r="408">
          <cell r="O408">
            <v>4031</v>
          </cell>
          <cell r="P408">
            <v>9396</v>
          </cell>
        </row>
        <row r="409">
          <cell r="O409">
            <v>7969</v>
          </cell>
          <cell r="P409">
            <v>19609</v>
          </cell>
        </row>
        <row r="410">
          <cell r="O410">
            <v>2654</v>
          </cell>
          <cell r="P410">
            <v>9655</v>
          </cell>
        </row>
        <row r="411">
          <cell r="O411">
            <v>16555</v>
          </cell>
          <cell r="P411">
            <v>10310</v>
          </cell>
        </row>
        <row r="412">
          <cell r="O412">
            <v>4556</v>
          </cell>
          <cell r="P412">
            <v>12932</v>
          </cell>
        </row>
        <row r="413">
          <cell r="O413">
            <v>6091</v>
          </cell>
          <cell r="P413">
            <v>24793</v>
          </cell>
        </row>
        <row r="414">
          <cell r="O414">
            <v>19566</v>
          </cell>
          <cell r="P414">
            <v>3854</v>
          </cell>
        </row>
        <row r="415">
          <cell r="O415">
            <v>4810</v>
          </cell>
          <cell r="P415">
            <v>26314</v>
          </cell>
        </row>
        <row r="416">
          <cell r="O416">
            <v>4523</v>
          </cell>
          <cell r="P416">
            <v>4386</v>
          </cell>
        </row>
        <row r="417">
          <cell r="O417">
            <v>3202</v>
          </cell>
          <cell r="P417">
            <v>21972</v>
          </cell>
        </row>
        <row r="418">
          <cell r="O418">
            <v>2351</v>
          </cell>
          <cell r="P418">
            <v>12253</v>
          </cell>
        </row>
        <row r="419">
          <cell r="O419">
            <v>1702</v>
          </cell>
          <cell r="P419">
            <v>12106</v>
          </cell>
        </row>
        <row r="420">
          <cell r="O420">
            <v>18041</v>
          </cell>
          <cell r="P420">
            <v>13022</v>
          </cell>
        </row>
        <row r="421">
          <cell r="O421">
            <v>2886</v>
          </cell>
          <cell r="P421">
            <v>3032</v>
          </cell>
        </row>
        <row r="422">
          <cell r="O422">
            <v>2097</v>
          </cell>
          <cell r="P422">
            <v>16734</v>
          </cell>
        </row>
        <row r="423">
          <cell r="O423">
            <v>11935</v>
          </cell>
          <cell r="P423">
            <v>21526</v>
          </cell>
        </row>
        <row r="424">
          <cell r="O424">
            <v>2546</v>
          </cell>
          <cell r="P424">
            <v>18300</v>
          </cell>
        </row>
        <row r="425">
          <cell r="O425">
            <v>2564</v>
          </cell>
          <cell r="P425">
            <v>18437</v>
          </cell>
        </row>
        <row r="426">
          <cell r="O426">
            <v>8412</v>
          </cell>
          <cell r="P426">
            <v>2890</v>
          </cell>
        </row>
        <row r="427">
          <cell r="O427">
            <v>14118</v>
          </cell>
          <cell r="P427">
            <v>22102</v>
          </cell>
        </row>
        <row r="428">
          <cell r="O428">
            <v>17046</v>
          </cell>
          <cell r="P428">
            <v>9314</v>
          </cell>
        </row>
        <row r="429">
          <cell r="O429">
            <v>2564</v>
          </cell>
          <cell r="P429">
            <v>7181</v>
          </cell>
        </row>
        <row r="430">
          <cell r="O430">
            <v>10266</v>
          </cell>
          <cell r="P430">
            <v>2845</v>
          </cell>
        </row>
        <row r="431">
          <cell r="O431">
            <v>5070</v>
          </cell>
          <cell r="P431">
            <v>7389</v>
          </cell>
        </row>
        <row r="432">
          <cell r="O432">
            <v>17861</v>
          </cell>
          <cell r="P432">
            <v>2288</v>
          </cell>
        </row>
        <row r="433">
          <cell r="O433">
            <v>4230</v>
          </cell>
          <cell r="P433">
            <v>19225</v>
          </cell>
        </row>
        <row r="434">
          <cell r="O434">
            <v>3780</v>
          </cell>
          <cell r="P434">
            <v>23428</v>
          </cell>
        </row>
        <row r="435">
          <cell r="O435">
            <v>2768</v>
          </cell>
          <cell r="P435">
            <v>8416</v>
          </cell>
        </row>
        <row r="436">
          <cell r="O436">
            <v>9071</v>
          </cell>
          <cell r="P436">
            <v>11563</v>
          </cell>
        </row>
        <row r="437">
          <cell r="O437">
            <v>10648</v>
          </cell>
          <cell r="P437">
            <v>14394</v>
          </cell>
        </row>
        <row r="438">
          <cell r="O438">
            <v>13610</v>
          </cell>
          <cell r="P438">
            <v>24619</v>
          </cell>
        </row>
        <row r="439">
          <cell r="O439">
            <v>3408</v>
          </cell>
          <cell r="P439">
            <v>6705</v>
          </cell>
        </row>
        <row r="440">
          <cell r="O440">
            <v>2983</v>
          </cell>
          <cell r="P440">
            <v>18398</v>
          </cell>
        </row>
        <row r="441">
          <cell r="O441">
            <v>7632</v>
          </cell>
          <cell r="P441">
            <v>14295</v>
          </cell>
        </row>
        <row r="442">
          <cell r="O442">
            <v>9824</v>
          </cell>
          <cell r="P442">
            <v>22908</v>
          </cell>
        </row>
        <row r="443">
          <cell r="O443">
            <v>9950</v>
          </cell>
          <cell r="P443">
            <v>11533</v>
          </cell>
        </row>
        <row r="444">
          <cell r="O444">
            <v>2093</v>
          </cell>
          <cell r="P444">
            <v>9260</v>
          </cell>
        </row>
        <row r="445">
          <cell r="O445">
            <v>9980</v>
          </cell>
          <cell r="P445">
            <v>15318</v>
          </cell>
        </row>
        <row r="446">
          <cell r="O446">
            <v>3894</v>
          </cell>
          <cell r="P446">
            <v>9129</v>
          </cell>
        </row>
        <row r="447">
          <cell r="O447">
            <v>4051</v>
          </cell>
          <cell r="P447">
            <v>19658</v>
          </cell>
        </row>
        <row r="448">
          <cell r="O448">
            <v>16835</v>
          </cell>
          <cell r="P448">
            <v>9873</v>
          </cell>
        </row>
        <row r="449">
          <cell r="O449">
            <v>6230</v>
          </cell>
          <cell r="P449">
            <v>13430</v>
          </cell>
        </row>
        <row r="450">
          <cell r="O450">
            <v>4717</v>
          </cell>
          <cell r="P450">
            <v>18659</v>
          </cell>
        </row>
        <row r="451">
          <cell r="O451">
            <v>13237</v>
          </cell>
          <cell r="P451">
            <v>20364</v>
          </cell>
        </row>
        <row r="452">
          <cell r="O452">
            <v>3755</v>
          </cell>
          <cell r="P452">
            <v>17872</v>
          </cell>
        </row>
        <row r="453">
          <cell r="O453">
            <v>6582</v>
          </cell>
          <cell r="P453">
            <v>8346</v>
          </cell>
        </row>
        <row r="454">
          <cell r="O454">
            <v>7406</v>
          </cell>
          <cell r="P454">
            <v>6950</v>
          </cell>
        </row>
        <row r="455">
          <cell r="O455">
            <v>4805</v>
          </cell>
          <cell r="P455">
            <v>16177</v>
          </cell>
        </row>
        <row r="456">
          <cell r="O456">
            <v>2741</v>
          </cell>
          <cell r="P456">
            <v>22808</v>
          </cell>
        </row>
        <row r="457">
          <cell r="O457">
            <v>4262</v>
          </cell>
          <cell r="P457">
            <v>22645</v>
          </cell>
        </row>
        <row r="458">
          <cell r="O458">
            <v>16184</v>
          </cell>
          <cell r="P458">
            <v>22578</v>
          </cell>
        </row>
        <row r="459">
          <cell r="O459">
            <v>11557</v>
          </cell>
          <cell r="P459">
            <v>25291</v>
          </cell>
        </row>
        <row r="460">
          <cell r="O460">
            <v>1878</v>
          </cell>
          <cell r="P460">
            <v>8059</v>
          </cell>
        </row>
        <row r="461">
          <cell r="O461">
            <v>10932</v>
          </cell>
          <cell r="P461">
            <v>11373</v>
          </cell>
        </row>
        <row r="462">
          <cell r="O462">
            <v>6811</v>
          </cell>
          <cell r="P462">
            <v>2112</v>
          </cell>
        </row>
        <row r="463">
          <cell r="O463">
            <v>4306</v>
          </cell>
          <cell r="P463">
            <v>4267</v>
          </cell>
        </row>
        <row r="464">
          <cell r="O464">
            <v>4859</v>
          </cell>
          <cell r="P464">
            <v>6698</v>
          </cell>
        </row>
        <row r="465">
          <cell r="O465">
            <v>5337</v>
          </cell>
          <cell r="P465">
            <v>19921</v>
          </cell>
        </row>
        <row r="466">
          <cell r="O466">
            <v>2340</v>
          </cell>
          <cell r="P466">
            <v>23213</v>
          </cell>
        </row>
        <row r="467">
          <cell r="O467">
            <v>7491</v>
          </cell>
          <cell r="P467">
            <v>23848</v>
          </cell>
        </row>
        <row r="468">
          <cell r="O468">
            <v>10527</v>
          </cell>
          <cell r="P468">
            <v>8984</v>
          </cell>
        </row>
        <row r="469">
          <cell r="O469">
            <v>16595</v>
          </cell>
          <cell r="P469">
            <v>5626</v>
          </cell>
        </row>
        <row r="470">
          <cell r="O470">
            <v>8834</v>
          </cell>
          <cell r="P470">
            <v>24666</v>
          </cell>
        </row>
        <row r="471">
          <cell r="O471">
            <v>5577</v>
          </cell>
          <cell r="P471">
            <v>22087</v>
          </cell>
        </row>
        <row r="472">
          <cell r="O472">
            <v>4707</v>
          </cell>
          <cell r="P472">
            <v>23914</v>
          </cell>
        </row>
        <row r="473">
          <cell r="O473">
            <v>2400</v>
          </cell>
          <cell r="P473">
            <v>5530</v>
          </cell>
        </row>
        <row r="474">
          <cell r="O474">
            <v>9824</v>
          </cell>
          <cell r="P474">
            <v>22174</v>
          </cell>
        </row>
        <row r="475">
          <cell r="O475">
            <v>6447</v>
          </cell>
          <cell r="P475">
            <v>15701</v>
          </cell>
        </row>
        <row r="476">
          <cell r="O476">
            <v>19502</v>
          </cell>
          <cell r="P476">
            <v>2125</v>
          </cell>
        </row>
        <row r="477">
          <cell r="O477">
            <v>2725</v>
          </cell>
          <cell r="P477">
            <v>21630</v>
          </cell>
        </row>
        <row r="478">
          <cell r="O478">
            <v>6272</v>
          </cell>
          <cell r="P478">
            <v>7428</v>
          </cell>
        </row>
        <row r="479">
          <cell r="O479">
            <v>2127</v>
          </cell>
          <cell r="P479">
            <v>9100</v>
          </cell>
        </row>
        <row r="480">
          <cell r="O480">
            <v>18200</v>
          </cell>
          <cell r="P480">
            <v>7999</v>
          </cell>
        </row>
        <row r="481">
          <cell r="O481">
            <v>2096</v>
          </cell>
          <cell r="P481">
            <v>26376</v>
          </cell>
        </row>
        <row r="482">
          <cell r="O482">
            <v>2886</v>
          </cell>
          <cell r="P482">
            <v>14168</v>
          </cell>
        </row>
        <row r="483">
          <cell r="O483">
            <v>2033</v>
          </cell>
          <cell r="P483">
            <v>14470</v>
          </cell>
        </row>
        <row r="484">
          <cell r="O484">
            <v>3622</v>
          </cell>
          <cell r="P484">
            <v>22794</v>
          </cell>
        </row>
        <row r="485">
          <cell r="O485">
            <v>4233</v>
          </cell>
          <cell r="P485">
            <v>11512</v>
          </cell>
        </row>
        <row r="486">
          <cell r="O486">
            <v>3681</v>
          </cell>
          <cell r="P486">
            <v>14004</v>
          </cell>
        </row>
        <row r="487">
          <cell r="O487">
            <v>5460</v>
          </cell>
          <cell r="P487">
            <v>6219</v>
          </cell>
        </row>
        <row r="488">
          <cell r="O488">
            <v>2187</v>
          </cell>
          <cell r="P488">
            <v>5013</v>
          </cell>
        </row>
        <row r="489">
          <cell r="O489">
            <v>9602</v>
          </cell>
          <cell r="P489">
            <v>3010</v>
          </cell>
        </row>
        <row r="490">
          <cell r="O490">
            <v>2836</v>
          </cell>
          <cell r="P490">
            <v>11757</v>
          </cell>
        </row>
        <row r="491">
          <cell r="O491">
            <v>4089</v>
          </cell>
          <cell r="P491">
            <v>5718</v>
          </cell>
        </row>
        <row r="492">
          <cell r="O492">
            <v>16627</v>
          </cell>
          <cell r="P492">
            <v>2671</v>
          </cell>
        </row>
        <row r="493">
          <cell r="O493">
            <v>2619</v>
          </cell>
          <cell r="P493">
            <v>14561</v>
          </cell>
        </row>
        <row r="494">
          <cell r="O494">
            <v>5679</v>
          </cell>
          <cell r="P494">
            <v>19627</v>
          </cell>
        </row>
        <row r="495">
          <cell r="O495">
            <v>15402</v>
          </cell>
          <cell r="P495">
            <v>17997</v>
          </cell>
        </row>
        <row r="496">
          <cell r="O496">
            <v>5985</v>
          </cell>
          <cell r="P496">
            <v>26894</v>
          </cell>
        </row>
        <row r="497">
          <cell r="O497">
            <v>2579</v>
          </cell>
          <cell r="P497">
            <v>2912</v>
          </cell>
        </row>
        <row r="498">
          <cell r="O498">
            <v>3041</v>
          </cell>
          <cell r="P498">
            <v>16346</v>
          </cell>
        </row>
        <row r="499">
          <cell r="O499">
            <v>3447</v>
          </cell>
          <cell r="P499">
            <v>24444</v>
          </cell>
        </row>
        <row r="500">
          <cell r="O500">
            <v>19513</v>
          </cell>
          <cell r="P500">
            <v>9358</v>
          </cell>
        </row>
        <row r="501">
          <cell r="O501">
            <v>2773</v>
          </cell>
          <cell r="P501">
            <v>12145</v>
          </cell>
        </row>
        <row r="502">
          <cell r="O502">
            <v>7104</v>
          </cell>
          <cell r="P502">
            <v>20431</v>
          </cell>
        </row>
        <row r="503">
          <cell r="O503">
            <v>6322</v>
          </cell>
          <cell r="P503">
            <v>18089</v>
          </cell>
        </row>
        <row r="504">
          <cell r="O504">
            <v>2083</v>
          </cell>
          <cell r="P504">
            <v>22653</v>
          </cell>
        </row>
        <row r="505">
          <cell r="O505">
            <v>8381</v>
          </cell>
          <cell r="P505">
            <v>7507</v>
          </cell>
        </row>
        <row r="506">
          <cell r="O506">
            <v>2691</v>
          </cell>
          <cell r="P506">
            <v>7660</v>
          </cell>
        </row>
        <row r="507">
          <cell r="O507">
            <v>4286</v>
          </cell>
          <cell r="P507">
            <v>5630</v>
          </cell>
        </row>
        <row r="508">
          <cell r="O508">
            <v>2659</v>
          </cell>
          <cell r="P508">
            <v>17759</v>
          </cell>
        </row>
        <row r="509">
          <cell r="O509">
            <v>9434</v>
          </cell>
          <cell r="P509">
            <v>9606</v>
          </cell>
        </row>
        <row r="510">
          <cell r="O510">
            <v>5561</v>
          </cell>
          <cell r="P510">
            <v>3487</v>
          </cell>
        </row>
        <row r="511">
          <cell r="O511">
            <v>6646</v>
          </cell>
          <cell r="P511">
            <v>19368</v>
          </cell>
        </row>
        <row r="512">
          <cell r="O512">
            <v>7725</v>
          </cell>
          <cell r="P512">
            <v>5335</v>
          </cell>
        </row>
        <row r="513">
          <cell r="O513">
            <v>10725</v>
          </cell>
          <cell r="P513">
            <v>6729</v>
          </cell>
        </row>
        <row r="514">
          <cell r="O514">
            <v>8847</v>
          </cell>
          <cell r="P514">
            <v>13934</v>
          </cell>
        </row>
        <row r="515">
          <cell r="O515">
            <v>2045</v>
          </cell>
          <cell r="P515">
            <v>15174</v>
          </cell>
        </row>
        <row r="516">
          <cell r="O516">
            <v>1009</v>
          </cell>
          <cell r="P516">
            <v>26999</v>
          </cell>
        </row>
        <row r="517">
          <cell r="O517">
            <v>3348</v>
          </cell>
          <cell r="P517">
            <v>3164</v>
          </cell>
        </row>
        <row r="518">
          <cell r="O518">
            <v>1281</v>
          </cell>
          <cell r="P518">
            <v>16900</v>
          </cell>
        </row>
        <row r="519">
          <cell r="O519">
            <v>2819</v>
          </cell>
          <cell r="P519">
            <v>8544</v>
          </cell>
        </row>
        <row r="520">
          <cell r="O520">
            <v>4851</v>
          </cell>
          <cell r="P520">
            <v>15678</v>
          </cell>
        </row>
        <row r="521">
          <cell r="O521">
            <v>4028</v>
          </cell>
          <cell r="P521">
            <v>7791</v>
          </cell>
        </row>
        <row r="522">
          <cell r="O522">
            <v>2720</v>
          </cell>
          <cell r="P522">
            <v>18959</v>
          </cell>
        </row>
        <row r="523">
          <cell r="O523">
            <v>8120</v>
          </cell>
          <cell r="P523">
            <v>18597</v>
          </cell>
        </row>
        <row r="524">
          <cell r="O524">
            <v>4647</v>
          </cell>
          <cell r="P524">
            <v>16673</v>
          </cell>
        </row>
        <row r="525">
          <cell r="O525">
            <v>4680</v>
          </cell>
          <cell r="P525">
            <v>15232</v>
          </cell>
        </row>
        <row r="526">
          <cell r="O526">
            <v>3221</v>
          </cell>
          <cell r="P526">
            <v>3297</v>
          </cell>
        </row>
        <row r="527">
          <cell r="O527">
            <v>8621</v>
          </cell>
          <cell r="P527">
            <v>17654</v>
          </cell>
        </row>
        <row r="528">
          <cell r="O528">
            <v>4577</v>
          </cell>
          <cell r="P528">
            <v>24785</v>
          </cell>
        </row>
        <row r="529">
          <cell r="O529">
            <v>4553</v>
          </cell>
          <cell r="P529">
            <v>20978</v>
          </cell>
        </row>
        <row r="530">
          <cell r="O530">
            <v>5396</v>
          </cell>
          <cell r="P530">
            <v>21703</v>
          </cell>
        </row>
        <row r="531">
          <cell r="O531">
            <v>6796</v>
          </cell>
          <cell r="P531">
            <v>23452</v>
          </cell>
        </row>
        <row r="532">
          <cell r="O532">
            <v>7625</v>
          </cell>
          <cell r="P532">
            <v>19383</v>
          </cell>
        </row>
        <row r="533">
          <cell r="O533">
            <v>7412</v>
          </cell>
          <cell r="P533">
            <v>6009</v>
          </cell>
        </row>
        <row r="534">
          <cell r="O534">
            <v>11159</v>
          </cell>
          <cell r="P534">
            <v>19373</v>
          </cell>
        </row>
        <row r="535">
          <cell r="O535">
            <v>4960</v>
          </cell>
          <cell r="P535">
            <v>11825</v>
          </cell>
        </row>
        <row r="536">
          <cell r="O536">
            <v>10475</v>
          </cell>
          <cell r="P536">
            <v>23772</v>
          </cell>
        </row>
        <row r="537">
          <cell r="O537">
            <v>14814</v>
          </cell>
          <cell r="P537">
            <v>13514</v>
          </cell>
        </row>
        <row r="538">
          <cell r="O538">
            <v>19141</v>
          </cell>
          <cell r="P538">
            <v>8861</v>
          </cell>
        </row>
        <row r="539">
          <cell r="O539">
            <v>5405</v>
          </cell>
          <cell r="P539">
            <v>11924</v>
          </cell>
        </row>
        <row r="540">
          <cell r="O540">
            <v>8793</v>
          </cell>
          <cell r="P540">
            <v>4809</v>
          </cell>
        </row>
        <row r="541">
          <cell r="O541">
            <v>19189</v>
          </cell>
          <cell r="P541">
            <v>19562</v>
          </cell>
        </row>
        <row r="542">
          <cell r="O542">
            <v>3875</v>
          </cell>
          <cell r="P542">
            <v>9983</v>
          </cell>
        </row>
        <row r="543">
          <cell r="O543">
            <v>2216</v>
          </cell>
          <cell r="P543">
            <v>3872</v>
          </cell>
        </row>
        <row r="544">
          <cell r="O544">
            <v>11713</v>
          </cell>
          <cell r="P544">
            <v>20335</v>
          </cell>
        </row>
        <row r="545">
          <cell r="O545">
            <v>7861</v>
          </cell>
          <cell r="P545">
            <v>15397</v>
          </cell>
        </row>
        <row r="546">
          <cell r="O546">
            <v>3708</v>
          </cell>
          <cell r="P546">
            <v>2104</v>
          </cell>
        </row>
        <row r="547">
          <cell r="O547">
            <v>13770</v>
          </cell>
          <cell r="P547">
            <v>10225</v>
          </cell>
        </row>
        <row r="548">
          <cell r="O548">
            <v>5304</v>
          </cell>
          <cell r="P548">
            <v>25275</v>
          </cell>
        </row>
        <row r="549">
          <cell r="O549">
            <v>2642</v>
          </cell>
          <cell r="P549">
            <v>2755</v>
          </cell>
        </row>
        <row r="550">
          <cell r="O550">
            <v>2759</v>
          </cell>
          <cell r="P550">
            <v>20366</v>
          </cell>
        </row>
        <row r="551">
          <cell r="O551">
            <v>6804</v>
          </cell>
          <cell r="P551">
            <v>23683</v>
          </cell>
        </row>
        <row r="552">
          <cell r="O552">
            <v>6142</v>
          </cell>
          <cell r="P552">
            <v>7360</v>
          </cell>
        </row>
        <row r="553">
          <cell r="O553">
            <v>2500</v>
          </cell>
          <cell r="P553">
            <v>4344</v>
          </cell>
        </row>
        <row r="554">
          <cell r="O554">
            <v>6389</v>
          </cell>
          <cell r="P554">
            <v>18767</v>
          </cell>
        </row>
        <row r="555">
          <cell r="O555">
            <v>11103</v>
          </cell>
          <cell r="P555">
            <v>20420</v>
          </cell>
        </row>
        <row r="556">
          <cell r="O556">
            <v>2342</v>
          </cell>
          <cell r="P556">
            <v>22929</v>
          </cell>
        </row>
        <row r="557">
          <cell r="O557">
            <v>6811</v>
          </cell>
          <cell r="P557">
            <v>23398</v>
          </cell>
        </row>
        <row r="558">
          <cell r="O558">
            <v>2297</v>
          </cell>
          <cell r="P558">
            <v>17967</v>
          </cell>
        </row>
        <row r="559">
          <cell r="O559">
            <v>2450</v>
          </cell>
          <cell r="P559">
            <v>10919</v>
          </cell>
        </row>
        <row r="560">
          <cell r="O560">
            <v>5093</v>
          </cell>
          <cell r="P560">
            <v>4761</v>
          </cell>
        </row>
        <row r="561">
          <cell r="O561">
            <v>5309</v>
          </cell>
          <cell r="P561">
            <v>21146</v>
          </cell>
        </row>
        <row r="562">
          <cell r="O562">
            <v>3057</v>
          </cell>
          <cell r="P562">
            <v>20471</v>
          </cell>
        </row>
        <row r="563">
          <cell r="O563">
            <v>5121</v>
          </cell>
          <cell r="P563">
            <v>4187</v>
          </cell>
        </row>
        <row r="564">
          <cell r="O564">
            <v>16856</v>
          </cell>
          <cell r="P564">
            <v>10084</v>
          </cell>
        </row>
        <row r="565">
          <cell r="O565">
            <v>2686</v>
          </cell>
          <cell r="P565">
            <v>5207</v>
          </cell>
        </row>
        <row r="566">
          <cell r="O566">
            <v>6180</v>
          </cell>
          <cell r="P566">
            <v>22807</v>
          </cell>
        </row>
        <row r="567">
          <cell r="O567">
            <v>6632</v>
          </cell>
          <cell r="P567">
            <v>12388</v>
          </cell>
        </row>
        <row r="568">
          <cell r="O568">
            <v>3505</v>
          </cell>
          <cell r="P568">
            <v>19630</v>
          </cell>
        </row>
        <row r="569">
          <cell r="O569">
            <v>6397</v>
          </cell>
          <cell r="P569">
            <v>10339</v>
          </cell>
        </row>
        <row r="570">
          <cell r="O570">
            <v>6274</v>
          </cell>
          <cell r="P570">
            <v>18686</v>
          </cell>
        </row>
        <row r="571">
          <cell r="O571">
            <v>19859</v>
          </cell>
          <cell r="P571">
            <v>21199</v>
          </cell>
        </row>
        <row r="572">
          <cell r="O572">
            <v>7587</v>
          </cell>
          <cell r="P572">
            <v>14229</v>
          </cell>
        </row>
        <row r="573">
          <cell r="O573">
            <v>4258</v>
          </cell>
          <cell r="P573">
            <v>26589</v>
          </cell>
        </row>
        <row r="574">
          <cell r="O574">
            <v>4364</v>
          </cell>
          <cell r="P574">
            <v>5288</v>
          </cell>
        </row>
        <row r="575">
          <cell r="O575">
            <v>4335</v>
          </cell>
          <cell r="P575">
            <v>25549</v>
          </cell>
        </row>
        <row r="576">
          <cell r="O576">
            <v>5326</v>
          </cell>
          <cell r="P576">
            <v>3064</v>
          </cell>
        </row>
        <row r="577">
          <cell r="O577">
            <v>3280</v>
          </cell>
          <cell r="P577">
            <v>13551</v>
          </cell>
        </row>
        <row r="578">
          <cell r="O578">
            <v>5485</v>
          </cell>
          <cell r="P578">
            <v>22670</v>
          </cell>
        </row>
        <row r="579">
          <cell r="O579">
            <v>4342</v>
          </cell>
          <cell r="P579">
            <v>24008</v>
          </cell>
        </row>
        <row r="580">
          <cell r="O580">
            <v>2782</v>
          </cell>
          <cell r="P580">
            <v>19905</v>
          </cell>
        </row>
        <row r="581">
          <cell r="O581">
            <v>5980</v>
          </cell>
          <cell r="P581">
            <v>26085</v>
          </cell>
        </row>
        <row r="582">
          <cell r="O582">
            <v>4381</v>
          </cell>
          <cell r="P582">
            <v>7530</v>
          </cell>
        </row>
        <row r="583">
          <cell r="O583">
            <v>2572</v>
          </cell>
          <cell r="P583">
            <v>20317</v>
          </cell>
        </row>
        <row r="584">
          <cell r="O584">
            <v>3833</v>
          </cell>
          <cell r="P584">
            <v>24375</v>
          </cell>
        </row>
        <row r="585">
          <cell r="O585">
            <v>4244</v>
          </cell>
          <cell r="P585">
            <v>9931</v>
          </cell>
        </row>
        <row r="586">
          <cell r="O586">
            <v>6500</v>
          </cell>
          <cell r="P586">
            <v>13305</v>
          </cell>
        </row>
        <row r="587">
          <cell r="O587">
            <v>18430</v>
          </cell>
          <cell r="P587">
            <v>16225</v>
          </cell>
        </row>
        <row r="588">
          <cell r="O588">
            <v>1601</v>
          </cell>
          <cell r="P588">
            <v>3445</v>
          </cell>
        </row>
        <row r="589">
          <cell r="O589">
            <v>2694</v>
          </cell>
          <cell r="P589">
            <v>26551</v>
          </cell>
        </row>
        <row r="590">
          <cell r="O590">
            <v>3149</v>
          </cell>
          <cell r="P590">
            <v>21821</v>
          </cell>
        </row>
        <row r="591">
          <cell r="O591">
            <v>17639</v>
          </cell>
          <cell r="P591">
            <v>6881</v>
          </cell>
        </row>
        <row r="592">
          <cell r="O592">
            <v>2319</v>
          </cell>
          <cell r="P592">
            <v>6689</v>
          </cell>
        </row>
        <row r="593">
          <cell r="O593">
            <v>11691</v>
          </cell>
          <cell r="P593">
            <v>25995</v>
          </cell>
        </row>
        <row r="594">
          <cell r="O594">
            <v>5324</v>
          </cell>
          <cell r="P594">
            <v>26507</v>
          </cell>
        </row>
        <row r="595">
          <cell r="O595">
            <v>16752</v>
          </cell>
          <cell r="P595">
            <v>12982</v>
          </cell>
        </row>
        <row r="596">
          <cell r="O596">
            <v>5228</v>
          </cell>
          <cell r="P596">
            <v>23361</v>
          </cell>
        </row>
        <row r="597">
          <cell r="O597">
            <v>2700</v>
          </cell>
          <cell r="P597">
            <v>23779</v>
          </cell>
        </row>
        <row r="598">
          <cell r="O598">
            <v>19246</v>
          </cell>
          <cell r="P598">
            <v>25761</v>
          </cell>
        </row>
        <row r="599">
          <cell r="O599">
            <v>2506</v>
          </cell>
          <cell r="P599">
            <v>13301</v>
          </cell>
        </row>
        <row r="600">
          <cell r="O600">
            <v>6062</v>
          </cell>
          <cell r="P600">
            <v>4051</v>
          </cell>
        </row>
        <row r="601">
          <cell r="O601">
            <v>4382</v>
          </cell>
          <cell r="P601">
            <v>16374</v>
          </cell>
        </row>
        <row r="602">
          <cell r="O602">
            <v>2143</v>
          </cell>
          <cell r="P602">
            <v>25527</v>
          </cell>
        </row>
        <row r="603">
          <cell r="O603">
            <v>6162</v>
          </cell>
          <cell r="P603">
            <v>19124</v>
          </cell>
        </row>
        <row r="604">
          <cell r="O604">
            <v>5094</v>
          </cell>
          <cell r="P604">
            <v>11983</v>
          </cell>
        </row>
        <row r="605">
          <cell r="O605">
            <v>6877</v>
          </cell>
          <cell r="P605">
            <v>20234</v>
          </cell>
        </row>
        <row r="606">
          <cell r="O606">
            <v>2274</v>
          </cell>
          <cell r="P606">
            <v>6153</v>
          </cell>
        </row>
        <row r="607">
          <cell r="O607">
            <v>4434</v>
          </cell>
          <cell r="P607">
            <v>11806</v>
          </cell>
        </row>
        <row r="608">
          <cell r="O608">
            <v>6288</v>
          </cell>
          <cell r="P608">
            <v>4284</v>
          </cell>
        </row>
        <row r="609">
          <cell r="O609">
            <v>2553</v>
          </cell>
          <cell r="P609">
            <v>8306</v>
          </cell>
        </row>
        <row r="610">
          <cell r="O610">
            <v>7654</v>
          </cell>
          <cell r="P610">
            <v>5860</v>
          </cell>
        </row>
        <row r="611">
          <cell r="O611">
            <v>5160</v>
          </cell>
          <cell r="P611">
            <v>21519</v>
          </cell>
        </row>
        <row r="612">
          <cell r="O612">
            <v>17159</v>
          </cell>
          <cell r="P612">
            <v>5200</v>
          </cell>
        </row>
        <row r="613">
          <cell r="O613">
            <v>12808</v>
          </cell>
          <cell r="P613">
            <v>8842</v>
          </cell>
        </row>
        <row r="614">
          <cell r="O614">
            <v>10221</v>
          </cell>
          <cell r="P614">
            <v>18869</v>
          </cell>
        </row>
        <row r="615">
          <cell r="O615">
            <v>4779</v>
          </cell>
          <cell r="P615">
            <v>3698</v>
          </cell>
        </row>
        <row r="616">
          <cell r="O616">
            <v>3737</v>
          </cell>
          <cell r="P616">
            <v>2243</v>
          </cell>
        </row>
        <row r="617">
          <cell r="O617">
            <v>2366</v>
          </cell>
          <cell r="P617">
            <v>20898</v>
          </cell>
        </row>
        <row r="618">
          <cell r="O618">
            <v>1706</v>
          </cell>
          <cell r="P618">
            <v>16571</v>
          </cell>
        </row>
        <row r="619">
          <cell r="O619">
            <v>16307</v>
          </cell>
          <cell r="P619">
            <v>5594</v>
          </cell>
        </row>
        <row r="620">
          <cell r="O620">
            <v>5933</v>
          </cell>
          <cell r="P620">
            <v>5197</v>
          </cell>
        </row>
        <row r="621">
          <cell r="O621">
            <v>3424</v>
          </cell>
          <cell r="P621">
            <v>21632</v>
          </cell>
        </row>
        <row r="622">
          <cell r="O622">
            <v>4037</v>
          </cell>
          <cell r="P622">
            <v>21816</v>
          </cell>
        </row>
        <row r="623">
          <cell r="O623">
            <v>2559</v>
          </cell>
          <cell r="P623">
            <v>17852</v>
          </cell>
        </row>
        <row r="624">
          <cell r="O624">
            <v>6201</v>
          </cell>
          <cell r="P624">
            <v>2823</v>
          </cell>
        </row>
        <row r="625">
          <cell r="O625">
            <v>4403</v>
          </cell>
          <cell r="P625">
            <v>9250</v>
          </cell>
        </row>
        <row r="626">
          <cell r="O626">
            <v>3761</v>
          </cell>
          <cell r="P626">
            <v>2373</v>
          </cell>
        </row>
        <row r="627">
          <cell r="O627">
            <v>10934</v>
          </cell>
          <cell r="P627">
            <v>20715</v>
          </cell>
        </row>
        <row r="628">
          <cell r="O628">
            <v>10761</v>
          </cell>
          <cell r="P628">
            <v>19239</v>
          </cell>
        </row>
        <row r="629">
          <cell r="O629">
            <v>5175</v>
          </cell>
          <cell r="P629">
            <v>22162</v>
          </cell>
        </row>
        <row r="630">
          <cell r="O630">
            <v>13826</v>
          </cell>
          <cell r="P630">
            <v>19028</v>
          </cell>
        </row>
        <row r="631">
          <cell r="O631">
            <v>6334</v>
          </cell>
          <cell r="P631">
            <v>24558</v>
          </cell>
        </row>
        <row r="632">
          <cell r="O632">
            <v>4936</v>
          </cell>
          <cell r="P632">
            <v>23965</v>
          </cell>
        </row>
        <row r="633">
          <cell r="O633">
            <v>4775</v>
          </cell>
          <cell r="P633">
            <v>19146</v>
          </cell>
        </row>
        <row r="634">
          <cell r="O634">
            <v>2818</v>
          </cell>
          <cell r="P634">
            <v>5044</v>
          </cell>
        </row>
        <row r="635">
          <cell r="O635">
            <v>2515</v>
          </cell>
          <cell r="P635">
            <v>9068</v>
          </cell>
        </row>
        <row r="636">
          <cell r="O636">
            <v>2342</v>
          </cell>
          <cell r="P636">
            <v>8635</v>
          </cell>
        </row>
        <row r="637">
          <cell r="O637">
            <v>4194</v>
          </cell>
          <cell r="P637">
            <v>14363</v>
          </cell>
        </row>
        <row r="638">
          <cell r="O638">
            <v>10685</v>
          </cell>
          <cell r="P638">
            <v>23457</v>
          </cell>
        </row>
        <row r="639">
          <cell r="O639">
            <v>2022</v>
          </cell>
          <cell r="P639">
            <v>16612</v>
          </cell>
        </row>
        <row r="640">
          <cell r="O640">
            <v>2314</v>
          </cell>
          <cell r="P640">
            <v>9148</v>
          </cell>
        </row>
        <row r="641">
          <cell r="O641">
            <v>4256</v>
          </cell>
          <cell r="P641">
            <v>18154</v>
          </cell>
        </row>
        <row r="642">
          <cell r="O642">
            <v>3580</v>
          </cell>
          <cell r="P642">
            <v>10554</v>
          </cell>
        </row>
        <row r="643">
          <cell r="O643">
            <v>3162</v>
          </cell>
          <cell r="P643">
            <v>10778</v>
          </cell>
        </row>
        <row r="644">
          <cell r="O644">
            <v>6524</v>
          </cell>
          <cell r="P644">
            <v>8891</v>
          </cell>
        </row>
        <row r="645">
          <cell r="O645">
            <v>2899</v>
          </cell>
          <cell r="P645">
            <v>12102</v>
          </cell>
        </row>
        <row r="646">
          <cell r="O646">
            <v>5231</v>
          </cell>
          <cell r="P646">
            <v>23726</v>
          </cell>
        </row>
        <row r="647">
          <cell r="O647">
            <v>2356</v>
          </cell>
          <cell r="P647">
            <v>14871</v>
          </cell>
        </row>
        <row r="648">
          <cell r="O648">
            <v>2800</v>
          </cell>
          <cell r="P648">
            <v>23522</v>
          </cell>
        </row>
        <row r="649">
          <cell r="O649">
            <v>11836</v>
          </cell>
          <cell r="P649">
            <v>22789</v>
          </cell>
        </row>
        <row r="650">
          <cell r="O650">
            <v>10903</v>
          </cell>
          <cell r="P650">
            <v>9129</v>
          </cell>
        </row>
        <row r="651">
          <cell r="O651">
            <v>2973</v>
          </cell>
          <cell r="P651">
            <v>21222</v>
          </cell>
        </row>
        <row r="652">
          <cell r="O652">
            <v>14275</v>
          </cell>
          <cell r="P652">
            <v>20206</v>
          </cell>
        </row>
        <row r="653">
          <cell r="O653">
            <v>5562</v>
          </cell>
          <cell r="P653">
            <v>21782</v>
          </cell>
        </row>
        <row r="654">
          <cell r="O654">
            <v>4537</v>
          </cell>
          <cell r="P654">
            <v>17783</v>
          </cell>
        </row>
        <row r="655">
          <cell r="O655">
            <v>7642</v>
          </cell>
          <cell r="P655">
            <v>4814</v>
          </cell>
        </row>
        <row r="656">
          <cell r="O656">
            <v>17924</v>
          </cell>
          <cell r="P656">
            <v>4544</v>
          </cell>
        </row>
        <row r="657">
          <cell r="O657">
            <v>5204</v>
          </cell>
          <cell r="P657">
            <v>7790</v>
          </cell>
        </row>
        <row r="658">
          <cell r="O658">
            <v>2277</v>
          </cell>
          <cell r="P658">
            <v>22650</v>
          </cell>
        </row>
        <row r="659">
          <cell r="O659">
            <v>2795</v>
          </cell>
          <cell r="P659">
            <v>18016</v>
          </cell>
        </row>
        <row r="660">
          <cell r="O660">
            <v>2532</v>
          </cell>
          <cell r="P660">
            <v>6054</v>
          </cell>
        </row>
        <row r="661">
          <cell r="O661">
            <v>2559</v>
          </cell>
          <cell r="P661">
            <v>7508</v>
          </cell>
        </row>
        <row r="662">
          <cell r="O662">
            <v>4908</v>
          </cell>
          <cell r="P662">
            <v>24252</v>
          </cell>
        </row>
        <row r="663">
          <cell r="O663">
            <v>2380</v>
          </cell>
          <cell r="P663">
            <v>13384</v>
          </cell>
        </row>
        <row r="664">
          <cell r="O664">
            <v>4765</v>
          </cell>
          <cell r="P664">
            <v>23814</v>
          </cell>
        </row>
        <row r="665">
          <cell r="O665">
            <v>2044</v>
          </cell>
          <cell r="P665">
            <v>22052</v>
          </cell>
        </row>
        <row r="666">
          <cell r="O666">
            <v>2693</v>
          </cell>
          <cell r="P666">
            <v>8870</v>
          </cell>
        </row>
        <row r="667">
          <cell r="O667">
            <v>6586</v>
          </cell>
          <cell r="P667">
            <v>4821</v>
          </cell>
        </row>
        <row r="668">
          <cell r="O668">
            <v>3294</v>
          </cell>
          <cell r="P668">
            <v>13137</v>
          </cell>
        </row>
        <row r="669">
          <cell r="O669">
            <v>4171</v>
          </cell>
          <cell r="P669">
            <v>10022</v>
          </cell>
        </row>
        <row r="670">
          <cell r="O670">
            <v>2778</v>
          </cell>
          <cell r="P670">
            <v>17725</v>
          </cell>
        </row>
        <row r="671">
          <cell r="O671">
            <v>2377</v>
          </cell>
          <cell r="P671">
            <v>9834</v>
          </cell>
        </row>
        <row r="672">
          <cell r="O672">
            <v>2404</v>
          </cell>
          <cell r="P672">
            <v>4303</v>
          </cell>
        </row>
        <row r="673">
          <cell r="O673">
            <v>2318</v>
          </cell>
          <cell r="P673">
            <v>17808</v>
          </cell>
        </row>
        <row r="674">
          <cell r="O674">
            <v>2008</v>
          </cell>
          <cell r="P674">
            <v>6896</v>
          </cell>
        </row>
        <row r="675">
          <cell r="O675">
            <v>6244</v>
          </cell>
          <cell r="P675">
            <v>7824</v>
          </cell>
        </row>
        <row r="676">
          <cell r="O676">
            <v>2799</v>
          </cell>
          <cell r="P676">
            <v>3339</v>
          </cell>
        </row>
        <row r="677">
          <cell r="O677">
            <v>10552</v>
          </cell>
          <cell r="P677">
            <v>9255</v>
          </cell>
        </row>
        <row r="678">
          <cell r="O678">
            <v>2329</v>
          </cell>
          <cell r="P678">
            <v>11737</v>
          </cell>
        </row>
        <row r="679">
          <cell r="O679">
            <v>4014</v>
          </cell>
          <cell r="P679">
            <v>19170</v>
          </cell>
        </row>
        <row r="680">
          <cell r="O680">
            <v>7403</v>
          </cell>
          <cell r="P680">
            <v>22477</v>
          </cell>
        </row>
        <row r="681">
          <cell r="O681">
            <v>2259</v>
          </cell>
          <cell r="P681">
            <v>5543</v>
          </cell>
        </row>
        <row r="682">
          <cell r="O682">
            <v>6932</v>
          </cell>
          <cell r="P682">
            <v>24406</v>
          </cell>
        </row>
        <row r="683">
          <cell r="O683">
            <v>4678</v>
          </cell>
          <cell r="P683">
            <v>23293</v>
          </cell>
        </row>
        <row r="684">
          <cell r="O684">
            <v>13582</v>
          </cell>
          <cell r="P684">
            <v>16292</v>
          </cell>
        </row>
        <row r="685">
          <cell r="O685">
            <v>2332</v>
          </cell>
          <cell r="P685">
            <v>3974</v>
          </cell>
        </row>
        <row r="686">
          <cell r="O686">
            <v>2413</v>
          </cell>
          <cell r="P686">
            <v>18798</v>
          </cell>
        </row>
        <row r="687">
          <cell r="O687">
            <v>9705</v>
          </cell>
          <cell r="P687">
            <v>20652</v>
          </cell>
        </row>
        <row r="688">
          <cell r="O688">
            <v>4294</v>
          </cell>
          <cell r="P688">
            <v>11148</v>
          </cell>
        </row>
        <row r="689">
          <cell r="O689">
            <v>4721</v>
          </cell>
          <cell r="P689">
            <v>3119</v>
          </cell>
        </row>
        <row r="690">
          <cell r="O690">
            <v>2519</v>
          </cell>
          <cell r="P690">
            <v>12287</v>
          </cell>
        </row>
        <row r="691">
          <cell r="O691">
            <v>2121</v>
          </cell>
          <cell r="P691">
            <v>9947</v>
          </cell>
        </row>
        <row r="692">
          <cell r="O692">
            <v>2973</v>
          </cell>
          <cell r="P692">
            <v>13008</v>
          </cell>
        </row>
        <row r="693">
          <cell r="O693">
            <v>5855</v>
          </cell>
          <cell r="P693">
            <v>17369</v>
          </cell>
        </row>
        <row r="694">
          <cell r="O694">
            <v>3617</v>
          </cell>
          <cell r="P694">
            <v>25063</v>
          </cell>
        </row>
        <row r="695">
          <cell r="O695">
            <v>6725</v>
          </cell>
          <cell r="P695">
            <v>13554</v>
          </cell>
        </row>
        <row r="696">
          <cell r="O696">
            <v>10325</v>
          </cell>
          <cell r="P696">
            <v>5518</v>
          </cell>
        </row>
        <row r="697">
          <cell r="O697">
            <v>6949</v>
          </cell>
          <cell r="P697">
            <v>12291</v>
          </cell>
        </row>
        <row r="698">
          <cell r="O698">
            <v>10609</v>
          </cell>
          <cell r="P698">
            <v>14922</v>
          </cell>
        </row>
        <row r="699">
          <cell r="O699">
            <v>4447</v>
          </cell>
          <cell r="P699">
            <v>23163</v>
          </cell>
        </row>
        <row r="700">
          <cell r="O700">
            <v>2157</v>
          </cell>
          <cell r="P700">
            <v>18203</v>
          </cell>
        </row>
        <row r="701">
          <cell r="O701">
            <v>4601</v>
          </cell>
          <cell r="P701">
            <v>6179</v>
          </cell>
        </row>
        <row r="702">
          <cell r="O702">
            <v>17099</v>
          </cell>
          <cell r="P702">
            <v>13829</v>
          </cell>
        </row>
        <row r="703">
          <cell r="O703">
            <v>2479</v>
          </cell>
          <cell r="P703">
            <v>26227</v>
          </cell>
        </row>
        <row r="704">
          <cell r="O704">
            <v>14852</v>
          </cell>
          <cell r="P704">
            <v>13938</v>
          </cell>
        </row>
        <row r="705">
          <cell r="O705">
            <v>7264</v>
          </cell>
          <cell r="P705">
            <v>9977</v>
          </cell>
        </row>
        <row r="706">
          <cell r="O706">
            <v>5666</v>
          </cell>
          <cell r="P706">
            <v>19899</v>
          </cell>
        </row>
        <row r="707">
          <cell r="O707">
            <v>7823</v>
          </cell>
          <cell r="P707">
            <v>6812</v>
          </cell>
        </row>
        <row r="708">
          <cell r="O708">
            <v>7880</v>
          </cell>
          <cell r="P708">
            <v>2560</v>
          </cell>
        </row>
        <row r="709">
          <cell r="O709">
            <v>13194</v>
          </cell>
          <cell r="P709">
            <v>17071</v>
          </cell>
        </row>
        <row r="710">
          <cell r="O710">
            <v>5067</v>
          </cell>
          <cell r="P710">
            <v>6759</v>
          </cell>
        </row>
        <row r="711">
          <cell r="O711">
            <v>5079</v>
          </cell>
          <cell r="P711">
            <v>25952</v>
          </cell>
        </row>
        <row r="712">
          <cell r="O712">
            <v>2321</v>
          </cell>
          <cell r="P712">
            <v>10322</v>
          </cell>
        </row>
        <row r="713">
          <cell r="O713">
            <v>17444</v>
          </cell>
          <cell r="P713">
            <v>20489</v>
          </cell>
        </row>
        <row r="714">
          <cell r="O714">
            <v>2404</v>
          </cell>
          <cell r="P714">
            <v>11479</v>
          </cell>
        </row>
        <row r="715">
          <cell r="O715">
            <v>3452</v>
          </cell>
          <cell r="P715">
            <v>17241</v>
          </cell>
        </row>
        <row r="716">
          <cell r="O716">
            <v>2270</v>
          </cell>
          <cell r="P716">
            <v>11005</v>
          </cell>
        </row>
        <row r="717">
          <cell r="O717">
            <v>17399</v>
          </cell>
          <cell r="P717">
            <v>6615</v>
          </cell>
        </row>
        <row r="718">
          <cell r="O718">
            <v>5488</v>
          </cell>
          <cell r="P718">
            <v>20161</v>
          </cell>
        </row>
        <row r="719">
          <cell r="O719">
            <v>19419</v>
          </cell>
          <cell r="P719">
            <v>3735</v>
          </cell>
        </row>
        <row r="720">
          <cell r="O720">
            <v>2811</v>
          </cell>
          <cell r="P720">
            <v>12086</v>
          </cell>
        </row>
        <row r="721">
          <cell r="O721">
            <v>3633</v>
          </cell>
          <cell r="P721">
            <v>14039</v>
          </cell>
        </row>
        <row r="722">
          <cell r="O722">
            <v>4163</v>
          </cell>
          <cell r="P722">
            <v>8571</v>
          </cell>
        </row>
        <row r="723">
          <cell r="O723">
            <v>2132</v>
          </cell>
          <cell r="P723">
            <v>11539</v>
          </cell>
        </row>
        <row r="724">
          <cell r="O724">
            <v>13973</v>
          </cell>
          <cell r="P724">
            <v>4161</v>
          </cell>
        </row>
        <row r="725">
          <cell r="O725">
            <v>2684</v>
          </cell>
          <cell r="P725">
            <v>12127</v>
          </cell>
        </row>
        <row r="726">
          <cell r="O726">
            <v>10845</v>
          </cell>
          <cell r="P726">
            <v>24208</v>
          </cell>
        </row>
        <row r="727">
          <cell r="O727">
            <v>4377</v>
          </cell>
          <cell r="P727">
            <v>24117</v>
          </cell>
        </row>
        <row r="728">
          <cell r="O728">
            <v>3743</v>
          </cell>
          <cell r="P728">
            <v>10074</v>
          </cell>
        </row>
        <row r="729">
          <cell r="O729">
            <v>4148</v>
          </cell>
          <cell r="P729">
            <v>11275</v>
          </cell>
        </row>
        <row r="730">
          <cell r="O730">
            <v>1051</v>
          </cell>
          <cell r="P730">
            <v>13493</v>
          </cell>
        </row>
        <row r="731">
          <cell r="O731">
            <v>10739</v>
          </cell>
          <cell r="P731">
            <v>13943</v>
          </cell>
        </row>
        <row r="732">
          <cell r="O732">
            <v>10388</v>
          </cell>
          <cell r="P732">
            <v>6975</v>
          </cell>
        </row>
        <row r="733">
          <cell r="O733">
            <v>11416</v>
          </cell>
          <cell r="P733">
            <v>17802</v>
          </cell>
        </row>
        <row r="734">
          <cell r="O734">
            <v>2600</v>
          </cell>
          <cell r="P734">
            <v>18275</v>
          </cell>
        </row>
        <row r="735">
          <cell r="O735">
            <v>2422</v>
          </cell>
          <cell r="P735">
            <v>25725</v>
          </cell>
        </row>
        <row r="736">
          <cell r="O736">
            <v>5472</v>
          </cell>
          <cell r="P736">
            <v>3334</v>
          </cell>
        </row>
        <row r="737">
          <cell r="O737">
            <v>2451</v>
          </cell>
          <cell r="P737">
            <v>6881</v>
          </cell>
        </row>
        <row r="738">
          <cell r="O738">
            <v>4240</v>
          </cell>
          <cell r="P738">
            <v>13119</v>
          </cell>
        </row>
        <row r="739">
          <cell r="O739">
            <v>10999</v>
          </cell>
          <cell r="P739">
            <v>22245</v>
          </cell>
        </row>
        <row r="740">
          <cell r="O740">
            <v>5003</v>
          </cell>
          <cell r="P740">
            <v>23371</v>
          </cell>
        </row>
        <row r="741">
          <cell r="O741">
            <v>12742</v>
          </cell>
          <cell r="P741">
            <v>7060</v>
          </cell>
        </row>
        <row r="742">
          <cell r="O742">
            <v>4227</v>
          </cell>
          <cell r="P742">
            <v>4658</v>
          </cell>
        </row>
        <row r="743">
          <cell r="O743">
            <v>3917</v>
          </cell>
          <cell r="P743">
            <v>9541</v>
          </cell>
        </row>
        <row r="744">
          <cell r="O744">
            <v>18303</v>
          </cell>
          <cell r="P744">
            <v>7770</v>
          </cell>
        </row>
        <row r="745">
          <cell r="O745">
            <v>2380</v>
          </cell>
          <cell r="P745">
            <v>20165</v>
          </cell>
        </row>
        <row r="746">
          <cell r="O746">
            <v>13726</v>
          </cell>
          <cell r="P746">
            <v>21829</v>
          </cell>
        </row>
        <row r="747">
          <cell r="O747">
            <v>4777</v>
          </cell>
          <cell r="P747">
            <v>14382</v>
          </cell>
        </row>
        <row r="748">
          <cell r="O748">
            <v>6385</v>
          </cell>
          <cell r="P748">
            <v>12992</v>
          </cell>
        </row>
        <row r="749">
          <cell r="O749">
            <v>19973</v>
          </cell>
          <cell r="P749">
            <v>20284</v>
          </cell>
        </row>
        <row r="750">
          <cell r="O750">
            <v>6861</v>
          </cell>
          <cell r="P750">
            <v>4981</v>
          </cell>
        </row>
        <row r="751">
          <cell r="O751">
            <v>4969</v>
          </cell>
          <cell r="P751">
            <v>21813</v>
          </cell>
        </row>
        <row r="752">
          <cell r="O752">
            <v>19845</v>
          </cell>
          <cell r="P752">
            <v>25846</v>
          </cell>
        </row>
        <row r="753">
          <cell r="O753">
            <v>13320</v>
          </cell>
          <cell r="P753">
            <v>11737</v>
          </cell>
        </row>
        <row r="754">
          <cell r="O754">
            <v>6347</v>
          </cell>
          <cell r="P754">
            <v>24920</v>
          </cell>
        </row>
        <row r="755">
          <cell r="O755">
            <v>2743</v>
          </cell>
          <cell r="P755">
            <v>8269</v>
          </cell>
        </row>
        <row r="756">
          <cell r="O756">
            <v>10880</v>
          </cell>
          <cell r="P756">
            <v>5083</v>
          </cell>
        </row>
        <row r="757">
          <cell r="O757">
            <v>2342</v>
          </cell>
          <cell r="P757">
            <v>21437</v>
          </cell>
        </row>
        <row r="758">
          <cell r="O758">
            <v>17650</v>
          </cell>
          <cell r="P758">
            <v>5404</v>
          </cell>
        </row>
        <row r="759">
          <cell r="O759">
            <v>4025</v>
          </cell>
          <cell r="P759">
            <v>11135</v>
          </cell>
        </row>
        <row r="760">
          <cell r="O760">
            <v>9725</v>
          </cell>
          <cell r="P760">
            <v>12278</v>
          </cell>
        </row>
        <row r="761">
          <cell r="O761">
            <v>11904</v>
          </cell>
          <cell r="P761">
            <v>11038</v>
          </cell>
        </row>
        <row r="762">
          <cell r="O762">
            <v>2177</v>
          </cell>
          <cell r="P762">
            <v>8318</v>
          </cell>
        </row>
        <row r="763">
          <cell r="O763">
            <v>7525</v>
          </cell>
          <cell r="P763">
            <v>23537</v>
          </cell>
        </row>
        <row r="764">
          <cell r="O764">
            <v>4834</v>
          </cell>
          <cell r="P764">
            <v>7858</v>
          </cell>
        </row>
        <row r="765">
          <cell r="O765">
            <v>2042</v>
          </cell>
          <cell r="P765">
            <v>15346</v>
          </cell>
        </row>
        <row r="766">
          <cell r="O766">
            <v>2220</v>
          </cell>
          <cell r="P766">
            <v>18410</v>
          </cell>
        </row>
        <row r="767">
          <cell r="O767">
            <v>1052</v>
          </cell>
          <cell r="P767">
            <v>23384</v>
          </cell>
        </row>
        <row r="768">
          <cell r="O768">
            <v>2821</v>
          </cell>
          <cell r="P768">
            <v>2997</v>
          </cell>
        </row>
        <row r="769">
          <cell r="O769">
            <v>19237</v>
          </cell>
          <cell r="P769">
            <v>12853</v>
          </cell>
        </row>
        <row r="770">
          <cell r="O770">
            <v>4107</v>
          </cell>
          <cell r="P770">
            <v>13848</v>
          </cell>
        </row>
        <row r="771">
          <cell r="O771">
            <v>8396</v>
          </cell>
          <cell r="P771">
            <v>22217</v>
          </cell>
        </row>
        <row r="772">
          <cell r="O772">
            <v>2007</v>
          </cell>
          <cell r="P772">
            <v>25265</v>
          </cell>
        </row>
        <row r="773">
          <cell r="O773">
            <v>19627</v>
          </cell>
          <cell r="P773">
            <v>21445</v>
          </cell>
        </row>
        <row r="774">
          <cell r="O774">
            <v>10686</v>
          </cell>
          <cell r="P774">
            <v>8392</v>
          </cell>
        </row>
        <row r="775">
          <cell r="O775">
            <v>2942</v>
          </cell>
          <cell r="P775">
            <v>12154</v>
          </cell>
        </row>
        <row r="776">
          <cell r="O776">
            <v>8858</v>
          </cell>
          <cell r="P776">
            <v>15669</v>
          </cell>
        </row>
        <row r="777">
          <cell r="O777">
            <v>16756</v>
          </cell>
          <cell r="P777">
            <v>17323</v>
          </cell>
        </row>
        <row r="778">
          <cell r="O778">
            <v>10798</v>
          </cell>
          <cell r="P778">
            <v>5268</v>
          </cell>
        </row>
        <row r="779">
          <cell r="O779">
            <v>2323</v>
          </cell>
          <cell r="P779">
            <v>17205</v>
          </cell>
        </row>
        <row r="780">
          <cell r="O780">
            <v>1416</v>
          </cell>
          <cell r="P780">
            <v>17258</v>
          </cell>
        </row>
        <row r="781">
          <cell r="O781">
            <v>4615</v>
          </cell>
          <cell r="P781">
            <v>21029</v>
          </cell>
        </row>
        <row r="782">
          <cell r="O782">
            <v>2461</v>
          </cell>
          <cell r="P782">
            <v>10332</v>
          </cell>
        </row>
        <row r="783">
          <cell r="O783">
            <v>8722</v>
          </cell>
          <cell r="P783">
            <v>12355</v>
          </cell>
        </row>
        <row r="784">
          <cell r="O784">
            <v>3955</v>
          </cell>
          <cell r="P784">
            <v>11141</v>
          </cell>
        </row>
        <row r="785">
          <cell r="O785">
            <v>9957</v>
          </cell>
          <cell r="P785">
            <v>9096</v>
          </cell>
        </row>
        <row r="786">
          <cell r="O786">
            <v>3376</v>
          </cell>
          <cell r="P786">
            <v>18863</v>
          </cell>
        </row>
        <row r="787">
          <cell r="O787">
            <v>8823</v>
          </cell>
          <cell r="P787">
            <v>24608</v>
          </cell>
        </row>
        <row r="788">
          <cell r="O788">
            <v>10322</v>
          </cell>
          <cell r="P788">
            <v>26542</v>
          </cell>
        </row>
        <row r="789">
          <cell r="O789">
            <v>4621</v>
          </cell>
          <cell r="P789">
            <v>5869</v>
          </cell>
        </row>
        <row r="790">
          <cell r="O790">
            <v>10976</v>
          </cell>
          <cell r="P790">
            <v>15813</v>
          </cell>
        </row>
        <row r="791">
          <cell r="O791">
            <v>3660</v>
          </cell>
          <cell r="P791">
            <v>7909</v>
          </cell>
        </row>
        <row r="792">
          <cell r="O792">
            <v>10482</v>
          </cell>
          <cell r="P792">
            <v>2326</v>
          </cell>
        </row>
        <row r="793">
          <cell r="O793">
            <v>7119</v>
          </cell>
          <cell r="P793">
            <v>21214</v>
          </cell>
        </row>
        <row r="794">
          <cell r="O794">
            <v>9582</v>
          </cell>
          <cell r="P794">
            <v>10333</v>
          </cell>
        </row>
        <row r="795">
          <cell r="O795">
            <v>4508</v>
          </cell>
          <cell r="P795">
            <v>3129</v>
          </cell>
        </row>
        <row r="796">
          <cell r="O796">
            <v>2207</v>
          </cell>
          <cell r="P796">
            <v>22482</v>
          </cell>
        </row>
        <row r="797">
          <cell r="O797">
            <v>7756</v>
          </cell>
          <cell r="P797">
            <v>22266</v>
          </cell>
        </row>
        <row r="798">
          <cell r="O798">
            <v>6694</v>
          </cell>
          <cell r="P798">
            <v>24223</v>
          </cell>
        </row>
        <row r="799">
          <cell r="O799">
            <v>3691</v>
          </cell>
          <cell r="P799">
            <v>4605</v>
          </cell>
        </row>
        <row r="800">
          <cell r="O800">
            <v>2377</v>
          </cell>
          <cell r="P800">
            <v>19373</v>
          </cell>
        </row>
        <row r="801">
          <cell r="O801">
            <v>2313</v>
          </cell>
          <cell r="P801">
            <v>2993</v>
          </cell>
        </row>
        <row r="802">
          <cell r="O802">
            <v>17665</v>
          </cell>
          <cell r="P802">
            <v>14399</v>
          </cell>
        </row>
        <row r="803">
          <cell r="O803">
            <v>2596</v>
          </cell>
          <cell r="P803">
            <v>7160</v>
          </cell>
        </row>
        <row r="804">
          <cell r="O804">
            <v>4728</v>
          </cell>
          <cell r="P804">
            <v>17251</v>
          </cell>
        </row>
        <row r="805">
          <cell r="O805">
            <v>4302</v>
          </cell>
          <cell r="P805">
            <v>13401</v>
          </cell>
        </row>
        <row r="806">
          <cell r="O806">
            <v>2979</v>
          </cell>
          <cell r="P806">
            <v>22478</v>
          </cell>
        </row>
        <row r="807">
          <cell r="O807">
            <v>16885</v>
          </cell>
          <cell r="P807">
            <v>16154</v>
          </cell>
        </row>
        <row r="808">
          <cell r="O808">
            <v>5593</v>
          </cell>
          <cell r="P808">
            <v>17970</v>
          </cell>
        </row>
        <row r="809">
          <cell r="O809">
            <v>10445</v>
          </cell>
          <cell r="P809">
            <v>15322</v>
          </cell>
        </row>
        <row r="810">
          <cell r="O810">
            <v>8740</v>
          </cell>
          <cell r="P810">
            <v>5569</v>
          </cell>
        </row>
        <row r="811">
          <cell r="O811">
            <v>2514</v>
          </cell>
          <cell r="P811">
            <v>26968</v>
          </cell>
        </row>
        <row r="812">
          <cell r="O812">
            <v>7655</v>
          </cell>
          <cell r="P812">
            <v>8039</v>
          </cell>
        </row>
        <row r="813">
          <cell r="O813">
            <v>17465</v>
          </cell>
          <cell r="P813">
            <v>15596</v>
          </cell>
        </row>
        <row r="814">
          <cell r="O814">
            <v>7351</v>
          </cell>
          <cell r="P814">
            <v>20619</v>
          </cell>
        </row>
        <row r="815">
          <cell r="O815">
            <v>10820</v>
          </cell>
          <cell r="P815">
            <v>11535</v>
          </cell>
        </row>
        <row r="816">
          <cell r="O816">
            <v>12169</v>
          </cell>
          <cell r="P816">
            <v>13547</v>
          </cell>
        </row>
        <row r="817">
          <cell r="O817">
            <v>19626</v>
          </cell>
          <cell r="P817">
            <v>17544</v>
          </cell>
        </row>
        <row r="818">
          <cell r="O818">
            <v>2070</v>
          </cell>
          <cell r="P818">
            <v>25326</v>
          </cell>
        </row>
        <row r="819">
          <cell r="O819">
            <v>6782</v>
          </cell>
          <cell r="P819">
            <v>8770</v>
          </cell>
        </row>
        <row r="820">
          <cell r="O820">
            <v>7779</v>
          </cell>
          <cell r="P820">
            <v>23238</v>
          </cell>
        </row>
        <row r="821">
          <cell r="O821">
            <v>2791</v>
          </cell>
          <cell r="P821">
            <v>21981</v>
          </cell>
        </row>
        <row r="822">
          <cell r="O822">
            <v>3201</v>
          </cell>
          <cell r="P822">
            <v>19911</v>
          </cell>
        </row>
        <row r="823">
          <cell r="O823">
            <v>4968</v>
          </cell>
          <cell r="P823">
            <v>18500</v>
          </cell>
        </row>
        <row r="824">
          <cell r="O824">
            <v>13120</v>
          </cell>
          <cell r="P824">
            <v>11879</v>
          </cell>
        </row>
        <row r="825">
          <cell r="O825">
            <v>4033</v>
          </cell>
          <cell r="P825">
            <v>15834</v>
          </cell>
        </row>
        <row r="826">
          <cell r="O826">
            <v>3291</v>
          </cell>
          <cell r="P826">
            <v>17940</v>
          </cell>
        </row>
        <row r="827">
          <cell r="O827">
            <v>4272</v>
          </cell>
          <cell r="P827">
            <v>9558</v>
          </cell>
        </row>
        <row r="828">
          <cell r="O828">
            <v>5056</v>
          </cell>
          <cell r="P828">
            <v>17689</v>
          </cell>
        </row>
        <row r="829">
          <cell r="O829">
            <v>2844</v>
          </cell>
          <cell r="P829">
            <v>6004</v>
          </cell>
        </row>
        <row r="830">
          <cell r="O830">
            <v>2703</v>
          </cell>
          <cell r="P830">
            <v>22088</v>
          </cell>
        </row>
        <row r="831">
          <cell r="O831">
            <v>1904</v>
          </cell>
          <cell r="P831">
            <v>13556</v>
          </cell>
        </row>
        <row r="832">
          <cell r="O832">
            <v>8224</v>
          </cell>
          <cell r="P832">
            <v>18385</v>
          </cell>
        </row>
        <row r="833">
          <cell r="O833">
            <v>4766</v>
          </cell>
          <cell r="P833">
            <v>9051</v>
          </cell>
        </row>
        <row r="834">
          <cell r="O834">
            <v>2610</v>
          </cell>
          <cell r="P834">
            <v>6233</v>
          </cell>
        </row>
        <row r="835">
          <cell r="O835">
            <v>5731</v>
          </cell>
          <cell r="P835">
            <v>17171</v>
          </cell>
        </row>
        <row r="836">
          <cell r="O836">
            <v>2539</v>
          </cell>
          <cell r="P836">
            <v>7950</v>
          </cell>
        </row>
        <row r="837">
          <cell r="O837">
            <v>5714</v>
          </cell>
          <cell r="P837">
            <v>5829</v>
          </cell>
        </row>
        <row r="838">
          <cell r="O838">
            <v>4323</v>
          </cell>
          <cell r="P838">
            <v>7108</v>
          </cell>
        </row>
        <row r="839">
          <cell r="O839">
            <v>7336</v>
          </cell>
          <cell r="P839">
            <v>11162</v>
          </cell>
        </row>
        <row r="840">
          <cell r="O840">
            <v>13499</v>
          </cell>
          <cell r="P840">
            <v>13782</v>
          </cell>
        </row>
        <row r="841">
          <cell r="O841">
            <v>13758</v>
          </cell>
          <cell r="P841">
            <v>2447</v>
          </cell>
        </row>
        <row r="842">
          <cell r="O842">
            <v>5155</v>
          </cell>
          <cell r="P842">
            <v>2253</v>
          </cell>
        </row>
        <row r="843">
          <cell r="O843">
            <v>2258</v>
          </cell>
          <cell r="P843">
            <v>16340</v>
          </cell>
        </row>
        <row r="844">
          <cell r="O844">
            <v>3597</v>
          </cell>
          <cell r="P844">
            <v>6409</v>
          </cell>
        </row>
        <row r="845">
          <cell r="O845">
            <v>2515</v>
          </cell>
          <cell r="P845">
            <v>22955</v>
          </cell>
        </row>
        <row r="846">
          <cell r="O846">
            <v>4420</v>
          </cell>
          <cell r="P846">
            <v>13421</v>
          </cell>
        </row>
        <row r="847">
          <cell r="O847">
            <v>6578</v>
          </cell>
          <cell r="P847">
            <v>2706</v>
          </cell>
        </row>
        <row r="848">
          <cell r="O848">
            <v>4422</v>
          </cell>
          <cell r="P848">
            <v>21203</v>
          </cell>
        </row>
        <row r="849">
          <cell r="O849">
            <v>10274</v>
          </cell>
          <cell r="P849">
            <v>19588</v>
          </cell>
        </row>
        <row r="850">
          <cell r="O850">
            <v>5343</v>
          </cell>
          <cell r="P850">
            <v>25755</v>
          </cell>
        </row>
        <row r="851">
          <cell r="O851">
            <v>2376</v>
          </cell>
          <cell r="P851">
            <v>26537</v>
          </cell>
        </row>
        <row r="852">
          <cell r="O852">
            <v>5346</v>
          </cell>
          <cell r="P852">
            <v>9489</v>
          </cell>
        </row>
        <row r="853">
          <cell r="O853">
            <v>2827</v>
          </cell>
          <cell r="P853">
            <v>14947</v>
          </cell>
        </row>
        <row r="854">
          <cell r="O854">
            <v>19943</v>
          </cell>
          <cell r="P854">
            <v>18575</v>
          </cell>
        </row>
        <row r="855">
          <cell r="O855">
            <v>3131</v>
          </cell>
          <cell r="P855">
            <v>26342</v>
          </cell>
        </row>
        <row r="856">
          <cell r="O856">
            <v>2552</v>
          </cell>
          <cell r="P856">
            <v>7172</v>
          </cell>
        </row>
        <row r="857">
          <cell r="O857">
            <v>4477</v>
          </cell>
          <cell r="P857">
            <v>20100</v>
          </cell>
        </row>
        <row r="858">
          <cell r="O858">
            <v>6474</v>
          </cell>
          <cell r="P858">
            <v>9961</v>
          </cell>
        </row>
        <row r="859">
          <cell r="O859">
            <v>3033</v>
          </cell>
          <cell r="P859">
            <v>12828</v>
          </cell>
        </row>
        <row r="860">
          <cell r="O860">
            <v>2936</v>
          </cell>
          <cell r="P860">
            <v>10826</v>
          </cell>
        </row>
        <row r="861">
          <cell r="O861">
            <v>18606</v>
          </cell>
          <cell r="P861">
            <v>18640</v>
          </cell>
        </row>
        <row r="862">
          <cell r="O862">
            <v>2168</v>
          </cell>
          <cell r="P862">
            <v>26933</v>
          </cell>
        </row>
        <row r="863">
          <cell r="O863">
            <v>2853</v>
          </cell>
          <cell r="P863">
            <v>4223</v>
          </cell>
        </row>
        <row r="864">
          <cell r="O864">
            <v>17048</v>
          </cell>
          <cell r="P864">
            <v>24097</v>
          </cell>
        </row>
        <row r="865">
          <cell r="O865">
            <v>2290</v>
          </cell>
          <cell r="P865">
            <v>4279</v>
          </cell>
        </row>
        <row r="866">
          <cell r="O866">
            <v>3600</v>
          </cell>
          <cell r="P866">
            <v>8429</v>
          </cell>
        </row>
        <row r="867">
          <cell r="O867">
            <v>2107</v>
          </cell>
          <cell r="P867">
            <v>20293</v>
          </cell>
        </row>
        <row r="868">
          <cell r="O868">
            <v>4115</v>
          </cell>
          <cell r="P868">
            <v>13192</v>
          </cell>
        </row>
        <row r="869">
          <cell r="O869">
            <v>4327</v>
          </cell>
          <cell r="P869">
            <v>25440</v>
          </cell>
        </row>
        <row r="870">
          <cell r="O870">
            <v>17856</v>
          </cell>
          <cell r="P870">
            <v>9490</v>
          </cell>
        </row>
        <row r="871">
          <cell r="O871">
            <v>3196</v>
          </cell>
          <cell r="P871">
            <v>12449</v>
          </cell>
        </row>
        <row r="872">
          <cell r="O872">
            <v>19081</v>
          </cell>
          <cell r="P872">
            <v>10849</v>
          </cell>
        </row>
        <row r="873">
          <cell r="O873">
            <v>8966</v>
          </cell>
          <cell r="P873">
            <v>21026</v>
          </cell>
        </row>
        <row r="874">
          <cell r="O874">
            <v>2210</v>
          </cell>
          <cell r="P874">
            <v>3372</v>
          </cell>
        </row>
        <row r="875">
          <cell r="O875">
            <v>4539</v>
          </cell>
          <cell r="P875">
            <v>4905</v>
          </cell>
        </row>
        <row r="876">
          <cell r="O876">
            <v>2741</v>
          </cell>
          <cell r="P876">
            <v>6865</v>
          </cell>
        </row>
        <row r="877">
          <cell r="O877">
            <v>3491</v>
          </cell>
          <cell r="P877">
            <v>11309</v>
          </cell>
        </row>
        <row r="878">
          <cell r="O878">
            <v>4541</v>
          </cell>
          <cell r="P878">
            <v>7744</v>
          </cell>
        </row>
        <row r="879">
          <cell r="O879">
            <v>2678</v>
          </cell>
          <cell r="P879">
            <v>5050</v>
          </cell>
        </row>
        <row r="880">
          <cell r="O880">
            <v>7379</v>
          </cell>
          <cell r="P880">
            <v>17433</v>
          </cell>
        </row>
        <row r="881">
          <cell r="O881">
            <v>6272</v>
          </cell>
          <cell r="P881">
            <v>12858</v>
          </cell>
        </row>
        <row r="882">
          <cell r="O882">
            <v>5220</v>
          </cell>
          <cell r="P882">
            <v>10893</v>
          </cell>
        </row>
        <row r="883">
          <cell r="O883">
            <v>2743</v>
          </cell>
          <cell r="P883">
            <v>7331</v>
          </cell>
        </row>
        <row r="884">
          <cell r="O884">
            <v>4998</v>
          </cell>
          <cell r="P884">
            <v>2338</v>
          </cell>
        </row>
        <row r="885">
          <cell r="O885">
            <v>10252</v>
          </cell>
          <cell r="P885">
            <v>4235</v>
          </cell>
        </row>
        <row r="886">
          <cell r="O886">
            <v>2781</v>
          </cell>
          <cell r="P886">
            <v>6311</v>
          </cell>
        </row>
        <row r="887">
          <cell r="O887">
            <v>6852</v>
          </cell>
          <cell r="P887">
            <v>11591</v>
          </cell>
        </row>
        <row r="888">
          <cell r="O888">
            <v>4950</v>
          </cell>
          <cell r="P888">
            <v>20623</v>
          </cell>
        </row>
        <row r="889">
          <cell r="O889">
            <v>3579</v>
          </cell>
          <cell r="P889">
            <v>9369</v>
          </cell>
        </row>
        <row r="890">
          <cell r="O890">
            <v>13191</v>
          </cell>
          <cell r="P890">
            <v>23281</v>
          </cell>
        </row>
        <row r="891">
          <cell r="O891">
            <v>10377</v>
          </cell>
          <cell r="P891">
            <v>13755</v>
          </cell>
        </row>
        <row r="892">
          <cell r="O892">
            <v>2235</v>
          </cell>
          <cell r="P892">
            <v>14377</v>
          </cell>
        </row>
        <row r="893">
          <cell r="O893">
            <v>10502</v>
          </cell>
          <cell r="P893">
            <v>9659</v>
          </cell>
        </row>
        <row r="894">
          <cell r="O894">
            <v>2011</v>
          </cell>
          <cell r="P894">
            <v>19982</v>
          </cell>
        </row>
        <row r="895">
          <cell r="O895">
            <v>1859</v>
          </cell>
          <cell r="P895">
            <v>6148</v>
          </cell>
        </row>
        <row r="896">
          <cell r="O896">
            <v>3760</v>
          </cell>
          <cell r="P896">
            <v>5598</v>
          </cell>
        </row>
        <row r="897">
          <cell r="O897">
            <v>17779</v>
          </cell>
          <cell r="P897">
            <v>23474</v>
          </cell>
        </row>
        <row r="898">
          <cell r="O898">
            <v>6833</v>
          </cell>
          <cell r="P898">
            <v>17089</v>
          </cell>
        </row>
        <row r="899">
          <cell r="O899">
            <v>6812</v>
          </cell>
          <cell r="P899">
            <v>17198</v>
          </cell>
        </row>
        <row r="900">
          <cell r="O900">
            <v>5171</v>
          </cell>
          <cell r="P900">
            <v>16490</v>
          </cell>
        </row>
        <row r="901">
          <cell r="O901">
            <v>19740</v>
          </cell>
          <cell r="P901">
            <v>18625</v>
          </cell>
        </row>
        <row r="902">
          <cell r="O902">
            <v>18711</v>
          </cell>
          <cell r="P902">
            <v>12124</v>
          </cell>
        </row>
        <row r="903">
          <cell r="O903">
            <v>3692</v>
          </cell>
          <cell r="P903">
            <v>9256</v>
          </cell>
        </row>
        <row r="904">
          <cell r="O904">
            <v>2559</v>
          </cell>
          <cell r="P904">
            <v>16620</v>
          </cell>
        </row>
        <row r="905">
          <cell r="O905">
            <v>2517</v>
          </cell>
          <cell r="P905">
            <v>3208</v>
          </cell>
        </row>
        <row r="906">
          <cell r="O906">
            <v>6623</v>
          </cell>
          <cell r="P906">
            <v>4204</v>
          </cell>
        </row>
        <row r="907">
          <cell r="O907">
            <v>18265</v>
          </cell>
          <cell r="P907">
            <v>8733</v>
          </cell>
        </row>
        <row r="908">
          <cell r="O908">
            <v>16124</v>
          </cell>
          <cell r="P908">
            <v>3423</v>
          </cell>
        </row>
        <row r="909">
          <cell r="O909">
            <v>2585</v>
          </cell>
          <cell r="P909">
            <v>21643</v>
          </cell>
        </row>
        <row r="910">
          <cell r="O910">
            <v>18213</v>
          </cell>
          <cell r="P910">
            <v>8751</v>
          </cell>
        </row>
        <row r="911">
          <cell r="O911">
            <v>8380</v>
          </cell>
          <cell r="P911">
            <v>21708</v>
          </cell>
        </row>
        <row r="912">
          <cell r="O912">
            <v>2994</v>
          </cell>
          <cell r="P912">
            <v>21221</v>
          </cell>
        </row>
        <row r="913">
          <cell r="O913">
            <v>1223</v>
          </cell>
          <cell r="P913">
            <v>16901</v>
          </cell>
        </row>
        <row r="914">
          <cell r="O914">
            <v>1118</v>
          </cell>
          <cell r="P914">
            <v>8040</v>
          </cell>
        </row>
        <row r="915">
          <cell r="O915">
            <v>2875</v>
          </cell>
          <cell r="P915">
            <v>9973</v>
          </cell>
        </row>
        <row r="916">
          <cell r="O916">
            <v>18824</v>
          </cell>
          <cell r="P916">
            <v>2493</v>
          </cell>
        </row>
        <row r="917">
          <cell r="O917">
            <v>13577</v>
          </cell>
          <cell r="P917">
            <v>25592</v>
          </cell>
        </row>
        <row r="918">
          <cell r="O918">
            <v>2625</v>
          </cell>
          <cell r="P918">
            <v>25308</v>
          </cell>
        </row>
        <row r="919">
          <cell r="O919">
            <v>18789</v>
          </cell>
          <cell r="P919">
            <v>9946</v>
          </cell>
        </row>
        <row r="920">
          <cell r="O920">
            <v>4538</v>
          </cell>
          <cell r="P920">
            <v>6039</v>
          </cell>
        </row>
        <row r="921">
          <cell r="O921">
            <v>19847</v>
          </cell>
          <cell r="P921">
            <v>19196</v>
          </cell>
        </row>
        <row r="922">
          <cell r="O922">
            <v>10512</v>
          </cell>
          <cell r="P922">
            <v>20002</v>
          </cell>
        </row>
        <row r="923">
          <cell r="O923">
            <v>4444</v>
          </cell>
          <cell r="P923">
            <v>22534</v>
          </cell>
        </row>
        <row r="924">
          <cell r="O924">
            <v>2154</v>
          </cell>
          <cell r="P924">
            <v>6842</v>
          </cell>
        </row>
        <row r="925">
          <cell r="O925">
            <v>19190</v>
          </cell>
          <cell r="P925">
            <v>17477</v>
          </cell>
        </row>
        <row r="926">
          <cell r="O926">
            <v>4490</v>
          </cell>
          <cell r="P926">
            <v>21833</v>
          </cell>
        </row>
        <row r="927">
          <cell r="O927">
            <v>3506</v>
          </cell>
          <cell r="P927">
            <v>6020</v>
          </cell>
        </row>
        <row r="928">
          <cell r="O928">
            <v>2372</v>
          </cell>
          <cell r="P928">
            <v>5628</v>
          </cell>
        </row>
        <row r="929">
          <cell r="O929">
            <v>10231</v>
          </cell>
          <cell r="P929">
            <v>20364</v>
          </cell>
        </row>
        <row r="930">
          <cell r="O930">
            <v>5410</v>
          </cell>
          <cell r="P930">
            <v>2323</v>
          </cell>
        </row>
        <row r="931">
          <cell r="O931">
            <v>7978</v>
          </cell>
          <cell r="P931">
            <v>14075</v>
          </cell>
        </row>
        <row r="932">
          <cell r="O932">
            <v>3867</v>
          </cell>
          <cell r="P932">
            <v>14222</v>
          </cell>
        </row>
        <row r="933">
          <cell r="O933">
            <v>2838</v>
          </cell>
          <cell r="P933">
            <v>4257</v>
          </cell>
        </row>
        <row r="934">
          <cell r="O934">
            <v>4695</v>
          </cell>
          <cell r="P934">
            <v>12858</v>
          </cell>
        </row>
        <row r="935">
          <cell r="O935">
            <v>3339</v>
          </cell>
          <cell r="P935">
            <v>17285</v>
          </cell>
        </row>
        <row r="936">
          <cell r="O936">
            <v>2080</v>
          </cell>
          <cell r="P936">
            <v>4732</v>
          </cell>
        </row>
        <row r="937">
          <cell r="O937">
            <v>2096</v>
          </cell>
          <cell r="P937">
            <v>18830</v>
          </cell>
        </row>
        <row r="938">
          <cell r="O938">
            <v>6209</v>
          </cell>
          <cell r="P938">
            <v>11693</v>
          </cell>
        </row>
        <row r="939">
          <cell r="O939">
            <v>18061</v>
          </cell>
          <cell r="P939">
            <v>13035</v>
          </cell>
        </row>
        <row r="940">
          <cell r="O940">
            <v>17123</v>
          </cell>
          <cell r="P940">
            <v>17334</v>
          </cell>
        </row>
        <row r="941">
          <cell r="O941">
            <v>2372</v>
          </cell>
          <cell r="P941">
            <v>26076</v>
          </cell>
        </row>
        <row r="942">
          <cell r="O942">
            <v>4883</v>
          </cell>
          <cell r="P942">
            <v>22845</v>
          </cell>
        </row>
        <row r="943">
          <cell r="O943">
            <v>3904</v>
          </cell>
          <cell r="P943">
            <v>22154</v>
          </cell>
        </row>
        <row r="944">
          <cell r="O944">
            <v>4627</v>
          </cell>
          <cell r="P944">
            <v>23631</v>
          </cell>
        </row>
        <row r="945">
          <cell r="O945">
            <v>7094</v>
          </cell>
          <cell r="P945">
            <v>5747</v>
          </cell>
        </row>
        <row r="946">
          <cell r="O946">
            <v>3423</v>
          </cell>
          <cell r="P946">
            <v>22957</v>
          </cell>
        </row>
        <row r="947">
          <cell r="O947">
            <v>6674</v>
          </cell>
          <cell r="P947">
            <v>16392</v>
          </cell>
        </row>
        <row r="948">
          <cell r="O948">
            <v>16880</v>
          </cell>
          <cell r="P948">
            <v>22422</v>
          </cell>
        </row>
        <row r="949">
          <cell r="O949">
            <v>9094</v>
          </cell>
          <cell r="P949">
            <v>17235</v>
          </cell>
        </row>
        <row r="950">
          <cell r="O950">
            <v>8446</v>
          </cell>
          <cell r="P950">
            <v>21534</v>
          </cell>
        </row>
        <row r="951">
          <cell r="O951">
            <v>11916</v>
          </cell>
          <cell r="P951">
            <v>25927</v>
          </cell>
        </row>
        <row r="952">
          <cell r="O952">
            <v>4534</v>
          </cell>
          <cell r="P952">
            <v>13352</v>
          </cell>
        </row>
        <row r="953">
          <cell r="O953">
            <v>9852</v>
          </cell>
          <cell r="P953">
            <v>8935</v>
          </cell>
        </row>
        <row r="954">
          <cell r="O954">
            <v>6151</v>
          </cell>
          <cell r="P954">
            <v>22074</v>
          </cell>
        </row>
        <row r="955">
          <cell r="O955">
            <v>2302</v>
          </cell>
          <cell r="P955">
            <v>8319</v>
          </cell>
        </row>
        <row r="956">
          <cell r="O956">
            <v>2362</v>
          </cell>
          <cell r="P956">
            <v>14669</v>
          </cell>
        </row>
        <row r="957">
          <cell r="O957">
            <v>17861</v>
          </cell>
          <cell r="P957">
            <v>26582</v>
          </cell>
        </row>
        <row r="958">
          <cell r="O958">
            <v>19187</v>
          </cell>
          <cell r="P958">
            <v>6992</v>
          </cell>
        </row>
        <row r="959">
          <cell r="O959">
            <v>19717</v>
          </cell>
          <cell r="P959">
            <v>4022</v>
          </cell>
        </row>
        <row r="960">
          <cell r="O960">
            <v>3544</v>
          </cell>
          <cell r="P960">
            <v>8532</v>
          </cell>
        </row>
        <row r="961">
          <cell r="O961">
            <v>8500</v>
          </cell>
          <cell r="P961">
            <v>5494</v>
          </cell>
        </row>
        <row r="962">
          <cell r="O962">
            <v>4661</v>
          </cell>
          <cell r="P962">
            <v>22455</v>
          </cell>
        </row>
        <row r="963">
          <cell r="O963">
            <v>4103</v>
          </cell>
          <cell r="P963">
            <v>4297</v>
          </cell>
        </row>
        <row r="964">
          <cell r="O964">
            <v>4249</v>
          </cell>
          <cell r="P964">
            <v>2690</v>
          </cell>
        </row>
        <row r="965">
          <cell r="O965">
            <v>14026</v>
          </cell>
          <cell r="P965">
            <v>17588</v>
          </cell>
        </row>
        <row r="966">
          <cell r="O966">
            <v>6893</v>
          </cell>
          <cell r="P966">
            <v>19461</v>
          </cell>
        </row>
        <row r="967">
          <cell r="O967">
            <v>6125</v>
          </cell>
          <cell r="P967">
            <v>23553</v>
          </cell>
        </row>
        <row r="968">
          <cell r="O968">
            <v>3669</v>
          </cell>
          <cell r="P968">
            <v>9075</v>
          </cell>
        </row>
        <row r="969">
          <cell r="O969">
            <v>10008</v>
          </cell>
          <cell r="P969">
            <v>12023</v>
          </cell>
        </row>
        <row r="970">
          <cell r="O970">
            <v>2387</v>
          </cell>
          <cell r="P970">
            <v>6762</v>
          </cell>
        </row>
        <row r="971">
          <cell r="O971">
            <v>4639</v>
          </cell>
          <cell r="P971">
            <v>2261</v>
          </cell>
        </row>
        <row r="972">
          <cell r="O972">
            <v>7898</v>
          </cell>
          <cell r="P972">
            <v>18706</v>
          </cell>
        </row>
        <row r="973">
          <cell r="O973">
            <v>2534</v>
          </cell>
          <cell r="P973">
            <v>6527</v>
          </cell>
        </row>
        <row r="974">
          <cell r="O974">
            <v>13142</v>
          </cell>
          <cell r="P974">
            <v>24439</v>
          </cell>
        </row>
        <row r="975">
          <cell r="O975">
            <v>1611</v>
          </cell>
          <cell r="P975">
            <v>19305</v>
          </cell>
        </row>
        <row r="976">
          <cell r="O976">
            <v>5363</v>
          </cell>
          <cell r="P976">
            <v>10846</v>
          </cell>
        </row>
        <row r="977">
          <cell r="O977">
            <v>5071</v>
          </cell>
          <cell r="P977">
            <v>20392</v>
          </cell>
        </row>
        <row r="978">
          <cell r="O978">
            <v>13695</v>
          </cell>
          <cell r="P978">
            <v>9277</v>
          </cell>
        </row>
        <row r="979">
          <cell r="O979">
            <v>13402</v>
          </cell>
          <cell r="P979">
            <v>18235</v>
          </cell>
        </row>
        <row r="980">
          <cell r="O980">
            <v>2029</v>
          </cell>
          <cell r="P980">
            <v>15891</v>
          </cell>
        </row>
        <row r="981">
          <cell r="O981">
            <v>6377</v>
          </cell>
          <cell r="P981">
            <v>13888</v>
          </cell>
        </row>
        <row r="982">
          <cell r="O982">
            <v>5429</v>
          </cell>
          <cell r="P982">
            <v>17491</v>
          </cell>
        </row>
        <row r="983">
          <cell r="O983">
            <v>2785</v>
          </cell>
          <cell r="P983">
            <v>11882</v>
          </cell>
        </row>
        <row r="984">
          <cell r="O984">
            <v>4614</v>
          </cell>
          <cell r="P984">
            <v>23288</v>
          </cell>
        </row>
        <row r="985">
          <cell r="O985">
            <v>2610</v>
          </cell>
          <cell r="P985">
            <v>15748</v>
          </cell>
        </row>
        <row r="986">
          <cell r="O986">
            <v>6687</v>
          </cell>
          <cell r="P986">
            <v>6163</v>
          </cell>
        </row>
        <row r="987">
          <cell r="O987">
            <v>4724</v>
          </cell>
          <cell r="P987">
            <v>24232</v>
          </cell>
        </row>
        <row r="988">
          <cell r="O988">
            <v>6179</v>
          </cell>
          <cell r="P988">
            <v>21057</v>
          </cell>
        </row>
        <row r="989">
          <cell r="O989">
            <v>6120</v>
          </cell>
          <cell r="P989">
            <v>3567</v>
          </cell>
        </row>
        <row r="990">
          <cell r="O990">
            <v>10596</v>
          </cell>
          <cell r="P990">
            <v>15395</v>
          </cell>
        </row>
        <row r="991">
          <cell r="O991">
            <v>5467</v>
          </cell>
          <cell r="P991">
            <v>13953</v>
          </cell>
        </row>
        <row r="992">
          <cell r="O992">
            <v>2996</v>
          </cell>
          <cell r="P992">
            <v>5182</v>
          </cell>
        </row>
        <row r="993">
          <cell r="O993">
            <v>9998</v>
          </cell>
          <cell r="P993">
            <v>19293</v>
          </cell>
        </row>
        <row r="994">
          <cell r="O994">
            <v>4078</v>
          </cell>
          <cell r="P994">
            <v>20497</v>
          </cell>
        </row>
        <row r="995">
          <cell r="O995">
            <v>10920</v>
          </cell>
          <cell r="P995">
            <v>3449</v>
          </cell>
        </row>
        <row r="996">
          <cell r="O996">
            <v>6232</v>
          </cell>
          <cell r="P996">
            <v>12477</v>
          </cell>
        </row>
        <row r="997">
          <cell r="O997">
            <v>13247</v>
          </cell>
          <cell r="P997">
            <v>9731</v>
          </cell>
        </row>
        <row r="998">
          <cell r="O998">
            <v>4081</v>
          </cell>
          <cell r="P998">
            <v>20003</v>
          </cell>
        </row>
        <row r="999">
          <cell r="O999">
            <v>5769</v>
          </cell>
          <cell r="P999">
            <v>7100</v>
          </cell>
        </row>
        <row r="1000">
          <cell r="O1000">
            <v>2394</v>
          </cell>
          <cell r="P1000">
            <v>25681</v>
          </cell>
        </row>
        <row r="1001">
          <cell r="O1001">
            <v>3904</v>
          </cell>
          <cell r="P1001">
            <v>4050</v>
          </cell>
        </row>
        <row r="1002">
          <cell r="O1002">
            <v>16799</v>
          </cell>
          <cell r="P1002">
            <v>16616</v>
          </cell>
        </row>
        <row r="1003">
          <cell r="O1003">
            <v>2950</v>
          </cell>
          <cell r="P1003">
            <v>17363</v>
          </cell>
        </row>
        <row r="1004">
          <cell r="O1004">
            <v>3629</v>
          </cell>
          <cell r="P1004">
            <v>19106</v>
          </cell>
        </row>
        <row r="1005">
          <cell r="O1005">
            <v>9362</v>
          </cell>
          <cell r="P1005">
            <v>19944</v>
          </cell>
        </row>
        <row r="1006">
          <cell r="O1006">
            <v>3229</v>
          </cell>
          <cell r="P1006">
            <v>4910</v>
          </cell>
        </row>
        <row r="1007">
          <cell r="O1007">
            <v>3578</v>
          </cell>
          <cell r="P1007">
            <v>23577</v>
          </cell>
        </row>
        <row r="1008">
          <cell r="O1008">
            <v>7988</v>
          </cell>
          <cell r="P1008">
            <v>9769</v>
          </cell>
        </row>
        <row r="1009">
          <cell r="O1009">
            <v>4284</v>
          </cell>
          <cell r="P1009">
            <v>22710</v>
          </cell>
        </row>
        <row r="1010">
          <cell r="O1010">
            <v>7553</v>
          </cell>
          <cell r="P1010">
            <v>22930</v>
          </cell>
        </row>
        <row r="1011">
          <cell r="O1011">
            <v>17328</v>
          </cell>
          <cell r="P1011">
            <v>5652</v>
          </cell>
        </row>
        <row r="1012">
          <cell r="O1012">
            <v>19701</v>
          </cell>
          <cell r="P1012">
            <v>22456</v>
          </cell>
        </row>
        <row r="1013">
          <cell r="O1013">
            <v>14732</v>
          </cell>
          <cell r="P1013">
            <v>12414</v>
          </cell>
        </row>
        <row r="1014">
          <cell r="O1014">
            <v>9278</v>
          </cell>
          <cell r="P1014">
            <v>20763</v>
          </cell>
        </row>
        <row r="1015">
          <cell r="O1015">
            <v>1359</v>
          </cell>
          <cell r="P1015">
            <v>16154</v>
          </cell>
        </row>
        <row r="1016">
          <cell r="O1016">
            <v>4779</v>
          </cell>
          <cell r="P1016">
            <v>12761</v>
          </cell>
        </row>
        <row r="1017">
          <cell r="O1017">
            <v>16422</v>
          </cell>
          <cell r="P1017">
            <v>8847</v>
          </cell>
        </row>
        <row r="1018">
          <cell r="O1018">
            <v>2996</v>
          </cell>
          <cell r="P1018">
            <v>20284</v>
          </cell>
        </row>
        <row r="1019">
          <cell r="O1019">
            <v>1261</v>
          </cell>
          <cell r="P1019">
            <v>22262</v>
          </cell>
        </row>
        <row r="1020">
          <cell r="O1020">
            <v>2099</v>
          </cell>
          <cell r="P1020">
            <v>7679</v>
          </cell>
        </row>
        <row r="1021">
          <cell r="O1021">
            <v>5810</v>
          </cell>
          <cell r="P1021">
            <v>22604</v>
          </cell>
        </row>
        <row r="1022">
          <cell r="O1022">
            <v>5647</v>
          </cell>
          <cell r="P1022">
            <v>13494</v>
          </cell>
        </row>
        <row r="1023">
          <cell r="O1023">
            <v>3420</v>
          </cell>
          <cell r="P1023">
            <v>10205</v>
          </cell>
        </row>
        <row r="1024">
          <cell r="O1024">
            <v>4400</v>
          </cell>
          <cell r="P1024">
            <v>15182</v>
          </cell>
        </row>
        <row r="1025">
          <cell r="O1025">
            <v>3500</v>
          </cell>
          <cell r="P1025">
            <v>25470</v>
          </cell>
        </row>
        <row r="1026">
          <cell r="O1026">
            <v>2066</v>
          </cell>
          <cell r="P1026">
            <v>10494</v>
          </cell>
        </row>
        <row r="1027">
          <cell r="O1027">
            <v>17169</v>
          </cell>
          <cell r="P1027">
            <v>26703</v>
          </cell>
        </row>
        <row r="1028">
          <cell r="O1028">
            <v>4162</v>
          </cell>
          <cell r="P1028">
            <v>15211</v>
          </cell>
        </row>
        <row r="1029">
          <cell r="O1029">
            <v>9204</v>
          </cell>
          <cell r="P1029">
            <v>23343</v>
          </cell>
        </row>
        <row r="1030">
          <cell r="O1030">
            <v>3294</v>
          </cell>
          <cell r="P1030">
            <v>3708</v>
          </cell>
        </row>
        <row r="1031">
          <cell r="O1031">
            <v>2127</v>
          </cell>
          <cell r="P1031">
            <v>5561</v>
          </cell>
        </row>
        <row r="1032">
          <cell r="O1032">
            <v>3975</v>
          </cell>
          <cell r="P1032">
            <v>23099</v>
          </cell>
        </row>
        <row r="1033">
          <cell r="O1033">
            <v>10793</v>
          </cell>
          <cell r="P1033">
            <v>8386</v>
          </cell>
        </row>
        <row r="1034">
          <cell r="O1034">
            <v>10096</v>
          </cell>
          <cell r="P1034">
            <v>15986</v>
          </cell>
        </row>
        <row r="1035">
          <cell r="O1035">
            <v>3646</v>
          </cell>
          <cell r="P1035">
            <v>17181</v>
          </cell>
        </row>
        <row r="1036">
          <cell r="O1036">
            <v>7446</v>
          </cell>
          <cell r="P1036">
            <v>8931</v>
          </cell>
        </row>
        <row r="1037">
          <cell r="O1037">
            <v>10851</v>
          </cell>
          <cell r="P1037">
            <v>19863</v>
          </cell>
        </row>
        <row r="1038">
          <cell r="O1038">
            <v>2109</v>
          </cell>
          <cell r="P1038">
            <v>24609</v>
          </cell>
        </row>
        <row r="1039">
          <cell r="O1039">
            <v>3722</v>
          </cell>
          <cell r="P1039">
            <v>21081</v>
          </cell>
        </row>
        <row r="1040">
          <cell r="O1040">
            <v>9380</v>
          </cell>
          <cell r="P1040">
            <v>14720</v>
          </cell>
        </row>
        <row r="1041">
          <cell r="O1041">
            <v>5486</v>
          </cell>
          <cell r="P1041">
            <v>24795</v>
          </cell>
        </row>
        <row r="1042">
          <cell r="O1042">
            <v>2742</v>
          </cell>
          <cell r="P1042">
            <v>3072</v>
          </cell>
        </row>
        <row r="1043">
          <cell r="O1043">
            <v>13757</v>
          </cell>
          <cell r="P1043">
            <v>25178</v>
          </cell>
        </row>
        <row r="1044">
          <cell r="O1044">
            <v>8463</v>
          </cell>
          <cell r="P1044">
            <v>23490</v>
          </cell>
        </row>
        <row r="1045">
          <cell r="O1045">
            <v>3162</v>
          </cell>
          <cell r="P1045">
            <v>7973</v>
          </cell>
        </row>
        <row r="1046">
          <cell r="O1046">
            <v>16598</v>
          </cell>
          <cell r="P1046">
            <v>19764</v>
          </cell>
        </row>
        <row r="1047">
          <cell r="O1047">
            <v>6651</v>
          </cell>
          <cell r="P1047">
            <v>21534</v>
          </cell>
        </row>
        <row r="1048">
          <cell r="O1048">
            <v>2345</v>
          </cell>
          <cell r="P1048">
            <v>8045</v>
          </cell>
        </row>
        <row r="1049">
          <cell r="O1049">
            <v>3420</v>
          </cell>
          <cell r="P1049">
            <v>21158</v>
          </cell>
        </row>
        <row r="1050">
          <cell r="O1050">
            <v>4373</v>
          </cell>
          <cell r="P1050">
            <v>17456</v>
          </cell>
        </row>
        <row r="1051">
          <cell r="O1051">
            <v>4759</v>
          </cell>
          <cell r="P1051">
            <v>15891</v>
          </cell>
        </row>
        <row r="1052">
          <cell r="O1052">
            <v>5301</v>
          </cell>
          <cell r="P1052">
            <v>2939</v>
          </cell>
        </row>
        <row r="1053">
          <cell r="O1053">
            <v>3673</v>
          </cell>
          <cell r="P1053">
            <v>16458</v>
          </cell>
        </row>
        <row r="1054">
          <cell r="O1054">
            <v>4768</v>
          </cell>
          <cell r="P1054">
            <v>9282</v>
          </cell>
        </row>
        <row r="1055">
          <cell r="O1055">
            <v>1274</v>
          </cell>
          <cell r="P1055">
            <v>7152</v>
          </cell>
        </row>
        <row r="1056">
          <cell r="O1056">
            <v>4900</v>
          </cell>
          <cell r="P1056">
            <v>2721</v>
          </cell>
        </row>
        <row r="1057">
          <cell r="O1057">
            <v>10466</v>
          </cell>
          <cell r="P1057">
            <v>20948</v>
          </cell>
        </row>
        <row r="1058">
          <cell r="O1058">
            <v>17007</v>
          </cell>
          <cell r="P1058">
            <v>11929</v>
          </cell>
        </row>
        <row r="1059">
          <cell r="O1059">
            <v>2909</v>
          </cell>
          <cell r="P1059">
            <v>15747</v>
          </cell>
        </row>
        <row r="1060">
          <cell r="O1060">
            <v>5765</v>
          </cell>
          <cell r="P1060">
            <v>17485</v>
          </cell>
        </row>
        <row r="1061">
          <cell r="O1061">
            <v>4599</v>
          </cell>
          <cell r="P1061">
            <v>7815</v>
          </cell>
        </row>
        <row r="1062">
          <cell r="O1062">
            <v>2404</v>
          </cell>
          <cell r="P1062">
            <v>16192</v>
          </cell>
        </row>
        <row r="1063">
          <cell r="O1063">
            <v>3172</v>
          </cell>
          <cell r="P1063">
            <v>16998</v>
          </cell>
        </row>
        <row r="1064">
          <cell r="O1064">
            <v>2033</v>
          </cell>
          <cell r="P1064">
            <v>7103</v>
          </cell>
        </row>
        <row r="1065">
          <cell r="O1065">
            <v>10209</v>
          </cell>
          <cell r="P1065">
            <v>19719</v>
          </cell>
        </row>
        <row r="1066">
          <cell r="O1066">
            <v>8620</v>
          </cell>
          <cell r="P1066">
            <v>23757</v>
          </cell>
        </row>
        <row r="1067">
          <cell r="O1067">
            <v>2064</v>
          </cell>
          <cell r="P1067">
            <v>15428</v>
          </cell>
        </row>
        <row r="1068">
          <cell r="O1068">
            <v>4035</v>
          </cell>
          <cell r="P1068">
            <v>16143</v>
          </cell>
        </row>
        <row r="1069">
          <cell r="O1069">
            <v>3838</v>
          </cell>
          <cell r="P1069">
            <v>8192</v>
          </cell>
        </row>
        <row r="1070">
          <cell r="O1070">
            <v>4591</v>
          </cell>
          <cell r="P1070">
            <v>24200</v>
          </cell>
        </row>
        <row r="1071">
          <cell r="O1071">
            <v>2561</v>
          </cell>
          <cell r="P1071">
            <v>5355</v>
          </cell>
        </row>
        <row r="1072">
          <cell r="O1072">
            <v>1563</v>
          </cell>
          <cell r="P1072">
            <v>12530</v>
          </cell>
        </row>
        <row r="1073">
          <cell r="O1073">
            <v>4898</v>
          </cell>
          <cell r="P1073">
            <v>11827</v>
          </cell>
        </row>
        <row r="1074">
          <cell r="O1074">
            <v>4789</v>
          </cell>
          <cell r="P1074">
            <v>23070</v>
          </cell>
        </row>
        <row r="1075">
          <cell r="O1075">
            <v>3180</v>
          </cell>
          <cell r="P1075">
            <v>4668</v>
          </cell>
        </row>
        <row r="1076">
          <cell r="O1076">
            <v>6549</v>
          </cell>
          <cell r="P1076">
            <v>3173</v>
          </cell>
        </row>
        <row r="1077">
          <cell r="O1077">
            <v>6388</v>
          </cell>
          <cell r="P1077">
            <v>22049</v>
          </cell>
        </row>
        <row r="1078">
          <cell r="O1078">
            <v>11244</v>
          </cell>
          <cell r="P1078">
            <v>21072</v>
          </cell>
        </row>
        <row r="1079">
          <cell r="O1079">
            <v>16032</v>
          </cell>
          <cell r="P1079">
            <v>24456</v>
          </cell>
        </row>
        <row r="1080">
          <cell r="O1080">
            <v>2362</v>
          </cell>
          <cell r="P1080">
            <v>7568</v>
          </cell>
        </row>
        <row r="1081">
          <cell r="O1081">
            <v>16328</v>
          </cell>
          <cell r="P1081">
            <v>22074</v>
          </cell>
        </row>
        <row r="1082">
          <cell r="O1082">
            <v>8376</v>
          </cell>
          <cell r="P1082">
            <v>9150</v>
          </cell>
        </row>
        <row r="1083">
          <cell r="O1083">
            <v>16606</v>
          </cell>
          <cell r="P1083">
            <v>11380</v>
          </cell>
        </row>
        <row r="1084">
          <cell r="O1084">
            <v>8606</v>
          </cell>
          <cell r="P1084">
            <v>21195</v>
          </cell>
        </row>
        <row r="1085">
          <cell r="O1085">
            <v>2272</v>
          </cell>
          <cell r="P1085">
            <v>24812</v>
          </cell>
        </row>
        <row r="1086">
          <cell r="O1086">
            <v>2018</v>
          </cell>
          <cell r="P1086">
            <v>21831</v>
          </cell>
        </row>
        <row r="1087">
          <cell r="O1087">
            <v>7083</v>
          </cell>
          <cell r="P1087">
            <v>12288</v>
          </cell>
        </row>
        <row r="1088">
          <cell r="O1088">
            <v>4084</v>
          </cell>
          <cell r="P1088">
            <v>4156</v>
          </cell>
        </row>
        <row r="1089">
          <cell r="O1089">
            <v>14411</v>
          </cell>
          <cell r="P1089">
            <v>24450</v>
          </cell>
        </row>
        <row r="1090">
          <cell r="O1090">
            <v>2308</v>
          </cell>
          <cell r="P1090">
            <v>4944</v>
          </cell>
        </row>
        <row r="1091">
          <cell r="O1091">
            <v>4841</v>
          </cell>
          <cell r="P1091">
            <v>24052</v>
          </cell>
        </row>
        <row r="1092">
          <cell r="O1092">
            <v>4285</v>
          </cell>
          <cell r="P1092">
            <v>3031</v>
          </cell>
        </row>
        <row r="1093">
          <cell r="O1093">
            <v>9715</v>
          </cell>
          <cell r="P1093">
            <v>7288</v>
          </cell>
        </row>
        <row r="1094">
          <cell r="O1094">
            <v>4320</v>
          </cell>
          <cell r="P1094">
            <v>24152</v>
          </cell>
        </row>
        <row r="1095">
          <cell r="O1095">
            <v>2132</v>
          </cell>
          <cell r="P1095">
            <v>4585</v>
          </cell>
        </row>
        <row r="1096">
          <cell r="O1096">
            <v>10124</v>
          </cell>
          <cell r="P1096">
            <v>18611</v>
          </cell>
        </row>
        <row r="1097">
          <cell r="O1097">
            <v>5473</v>
          </cell>
          <cell r="P1097">
            <v>19345</v>
          </cell>
        </row>
        <row r="1098">
          <cell r="O1098">
            <v>5207</v>
          </cell>
          <cell r="P1098">
            <v>22949</v>
          </cell>
        </row>
        <row r="1099">
          <cell r="O1099">
            <v>16437</v>
          </cell>
          <cell r="P1099">
            <v>17381</v>
          </cell>
        </row>
        <row r="1100">
          <cell r="O1100">
            <v>2296</v>
          </cell>
          <cell r="P1100">
            <v>10036</v>
          </cell>
        </row>
        <row r="1101">
          <cell r="O1101">
            <v>4069</v>
          </cell>
          <cell r="P1101">
            <v>8841</v>
          </cell>
        </row>
        <row r="1102">
          <cell r="O1102">
            <v>7441</v>
          </cell>
          <cell r="P1102">
            <v>20933</v>
          </cell>
        </row>
        <row r="1103">
          <cell r="O1103">
            <v>2430</v>
          </cell>
          <cell r="P1103">
            <v>26204</v>
          </cell>
        </row>
        <row r="1104">
          <cell r="O1104">
            <v>5878</v>
          </cell>
          <cell r="P1104">
            <v>15624</v>
          </cell>
        </row>
        <row r="1105">
          <cell r="O1105">
            <v>2644</v>
          </cell>
          <cell r="P1105">
            <v>17001</v>
          </cell>
        </row>
        <row r="1106">
          <cell r="O1106">
            <v>6439</v>
          </cell>
          <cell r="P1106">
            <v>13693</v>
          </cell>
        </row>
        <row r="1107">
          <cell r="O1107">
            <v>2451</v>
          </cell>
          <cell r="P1107">
            <v>22376</v>
          </cell>
        </row>
        <row r="1108">
          <cell r="O1108">
            <v>6392</v>
          </cell>
          <cell r="P1108">
            <v>10589</v>
          </cell>
        </row>
        <row r="1109">
          <cell r="O1109">
            <v>9714</v>
          </cell>
          <cell r="P1109">
            <v>5323</v>
          </cell>
        </row>
        <row r="1110">
          <cell r="O1110">
            <v>6077</v>
          </cell>
          <cell r="P1110">
            <v>14814</v>
          </cell>
        </row>
        <row r="1111">
          <cell r="O1111">
            <v>2450</v>
          </cell>
          <cell r="P1111">
            <v>21731</v>
          </cell>
        </row>
        <row r="1112">
          <cell r="O1112">
            <v>9250</v>
          </cell>
          <cell r="P1112">
            <v>17799</v>
          </cell>
        </row>
        <row r="1113">
          <cell r="O1113">
            <v>2074</v>
          </cell>
          <cell r="P1113">
            <v>26619</v>
          </cell>
        </row>
        <row r="1114">
          <cell r="O1114">
            <v>10169</v>
          </cell>
          <cell r="P1114">
            <v>14618</v>
          </cell>
        </row>
        <row r="1115">
          <cell r="O1115">
            <v>4855</v>
          </cell>
          <cell r="P1115">
            <v>7653</v>
          </cell>
        </row>
        <row r="1116">
          <cell r="O1116">
            <v>4087</v>
          </cell>
          <cell r="P1116">
            <v>25174</v>
          </cell>
        </row>
        <row r="1117">
          <cell r="O1117">
            <v>2367</v>
          </cell>
          <cell r="P1117">
            <v>16530</v>
          </cell>
        </row>
        <row r="1118">
          <cell r="O1118">
            <v>2972</v>
          </cell>
          <cell r="P1118">
            <v>22061</v>
          </cell>
        </row>
        <row r="1119">
          <cell r="O1119">
            <v>19586</v>
          </cell>
          <cell r="P1119">
            <v>23037</v>
          </cell>
        </row>
        <row r="1120">
          <cell r="O1120">
            <v>5484</v>
          </cell>
          <cell r="P1120">
            <v>13008</v>
          </cell>
        </row>
        <row r="1121">
          <cell r="O1121">
            <v>2061</v>
          </cell>
          <cell r="P1121">
            <v>11133</v>
          </cell>
        </row>
        <row r="1122">
          <cell r="O1122">
            <v>9924</v>
          </cell>
          <cell r="P1122">
            <v>12355</v>
          </cell>
        </row>
        <row r="1123">
          <cell r="O1123">
            <v>4198</v>
          </cell>
          <cell r="P1123">
            <v>16379</v>
          </cell>
        </row>
        <row r="1124">
          <cell r="O1124">
            <v>6815</v>
          </cell>
          <cell r="P1124">
            <v>21447</v>
          </cell>
        </row>
        <row r="1125">
          <cell r="O1125">
            <v>4723</v>
          </cell>
          <cell r="P1125">
            <v>16213</v>
          </cell>
        </row>
        <row r="1126">
          <cell r="O1126">
            <v>6142</v>
          </cell>
          <cell r="P1126">
            <v>4223</v>
          </cell>
        </row>
        <row r="1127">
          <cell r="O1127">
            <v>8237</v>
          </cell>
          <cell r="P1127">
            <v>4658</v>
          </cell>
        </row>
        <row r="1128">
          <cell r="O1128">
            <v>8853</v>
          </cell>
          <cell r="P1128">
            <v>24483</v>
          </cell>
        </row>
        <row r="1129">
          <cell r="O1129">
            <v>19331</v>
          </cell>
          <cell r="P1129">
            <v>19519</v>
          </cell>
        </row>
        <row r="1130">
          <cell r="O1130">
            <v>2073</v>
          </cell>
          <cell r="P1130">
            <v>12826</v>
          </cell>
        </row>
        <row r="1131">
          <cell r="O1131">
            <v>5562</v>
          </cell>
          <cell r="P1131">
            <v>19711</v>
          </cell>
        </row>
        <row r="1132">
          <cell r="O1132">
            <v>19613</v>
          </cell>
          <cell r="P1132">
            <v>26362</v>
          </cell>
        </row>
        <row r="1133">
          <cell r="O1133">
            <v>3407</v>
          </cell>
          <cell r="P1133">
            <v>25348</v>
          </cell>
        </row>
        <row r="1134">
          <cell r="O1134">
            <v>5063</v>
          </cell>
          <cell r="P1134">
            <v>15332</v>
          </cell>
        </row>
        <row r="1135">
          <cell r="O1135">
            <v>4639</v>
          </cell>
          <cell r="P1135">
            <v>11262</v>
          </cell>
        </row>
        <row r="1136">
          <cell r="O1136">
            <v>4876</v>
          </cell>
          <cell r="P1136">
            <v>5855</v>
          </cell>
        </row>
        <row r="1137">
          <cell r="O1137">
            <v>2690</v>
          </cell>
          <cell r="P1137">
            <v>7713</v>
          </cell>
        </row>
        <row r="1138">
          <cell r="O1138">
            <v>17567</v>
          </cell>
          <cell r="P1138">
            <v>3156</v>
          </cell>
        </row>
        <row r="1139">
          <cell r="O1139">
            <v>2408</v>
          </cell>
          <cell r="P1139">
            <v>7324</v>
          </cell>
        </row>
        <row r="1140">
          <cell r="O1140">
            <v>2814</v>
          </cell>
          <cell r="P1140">
            <v>10293</v>
          </cell>
        </row>
        <row r="1141">
          <cell r="O1141">
            <v>11245</v>
          </cell>
          <cell r="P1141">
            <v>20689</v>
          </cell>
        </row>
        <row r="1142">
          <cell r="O1142">
            <v>3312</v>
          </cell>
          <cell r="P1142">
            <v>18783</v>
          </cell>
        </row>
        <row r="1143">
          <cell r="O1143">
            <v>19049</v>
          </cell>
          <cell r="P1143">
            <v>3549</v>
          </cell>
        </row>
        <row r="1144">
          <cell r="O1144">
            <v>2141</v>
          </cell>
          <cell r="P1144">
            <v>5348</v>
          </cell>
        </row>
        <row r="1145">
          <cell r="O1145">
            <v>5769</v>
          </cell>
          <cell r="P1145">
            <v>23447</v>
          </cell>
        </row>
        <row r="1146">
          <cell r="O1146">
            <v>4385</v>
          </cell>
          <cell r="P1146">
            <v>24162</v>
          </cell>
        </row>
        <row r="1147">
          <cell r="O1147">
            <v>5332</v>
          </cell>
          <cell r="P1147">
            <v>21602</v>
          </cell>
        </row>
        <row r="1148">
          <cell r="O1148">
            <v>4663</v>
          </cell>
          <cell r="P1148">
            <v>12421</v>
          </cell>
        </row>
        <row r="1149">
          <cell r="O1149">
            <v>4724</v>
          </cell>
          <cell r="P1149">
            <v>17000</v>
          </cell>
        </row>
        <row r="1150">
          <cell r="O1150">
            <v>3211</v>
          </cell>
          <cell r="P1150">
            <v>22102</v>
          </cell>
        </row>
        <row r="1151">
          <cell r="O1151">
            <v>5377</v>
          </cell>
          <cell r="P1151">
            <v>3835</v>
          </cell>
        </row>
        <row r="1152">
          <cell r="O1152">
            <v>4066</v>
          </cell>
          <cell r="P1152">
            <v>16290</v>
          </cell>
        </row>
        <row r="1153">
          <cell r="O1153">
            <v>5208</v>
          </cell>
          <cell r="P1153">
            <v>26312</v>
          </cell>
        </row>
        <row r="1154">
          <cell r="O1154">
            <v>4877</v>
          </cell>
          <cell r="P1154">
            <v>20460</v>
          </cell>
        </row>
        <row r="1155">
          <cell r="O1155">
            <v>3117</v>
          </cell>
          <cell r="P1155">
            <v>26009</v>
          </cell>
        </row>
        <row r="1156">
          <cell r="O1156">
            <v>1569</v>
          </cell>
          <cell r="P1156">
            <v>18420</v>
          </cell>
        </row>
        <row r="1157">
          <cell r="O1157">
            <v>19658</v>
          </cell>
          <cell r="P1157">
            <v>5220</v>
          </cell>
        </row>
        <row r="1158">
          <cell r="O1158">
            <v>3069</v>
          </cell>
          <cell r="P1158">
            <v>10302</v>
          </cell>
        </row>
        <row r="1159">
          <cell r="O1159">
            <v>10435</v>
          </cell>
          <cell r="P1159">
            <v>25800</v>
          </cell>
        </row>
        <row r="1160">
          <cell r="O1160">
            <v>4148</v>
          </cell>
          <cell r="P1160">
            <v>12250</v>
          </cell>
        </row>
        <row r="1161">
          <cell r="O1161">
            <v>5768</v>
          </cell>
          <cell r="P1161">
            <v>26493</v>
          </cell>
        </row>
        <row r="1162">
          <cell r="O1162">
            <v>5042</v>
          </cell>
          <cell r="P1162">
            <v>3140</v>
          </cell>
        </row>
        <row r="1163">
          <cell r="O1163">
            <v>5770</v>
          </cell>
          <cell r="P1163">
            <v>5388</v>
          </cell>
        </row>
        <row r="1164">
          <cell r="O1164">
            <v>7756</v>
          </cell>
          <cell r="P1164">
            <v>14199</v>
          </cell>
        </row>
        <row r="1165">
          <cell r="O1165">
            <v>10306</v>
          </cell>
          <cell r="P1165">
            <v>21530</v>
          </cell>
        </row>
        <row r="1166">
          <cell r="O1166">
            <v>3936</v>
          </cell>
          <cell r="P1166">
            <v>9953</v>
          </cell>
        </row>
        <row r="1167">
          <cell r="O1167">
            <v>7945</v>
          </cell>
          <cell r="P1167">
            <v>19948</v>
          </cell>
        </row>
        <row r="1168">
          <cell r="O1168">
            <v>5743</v>
          </cell>
          <cell r="P1168">
            <v>10503</v>
          </cell>
        </row>
        <row r="1169">
          <cell r="O1169">
            <v>15202</v>
          </cell>
          <cell r="P1169">
            <v>5602</v>
          </cell>
        </row>
        <row r="1170">
          <cell r="O1170">
            <v>5440</v>
          </cell>
          <cell r="P1170">
            <v>22098</v>
          </cell>
        </row>
        <row r="1171">
          <cell r="O1171">
            <v>3760</v>
          </cell>
          <cell r="P1171">
            <v>17218</v>
          </cell>
        </row>
        <row r="1172">
          <cell r="O1172">
            <v>3517</v>
          </cell>
          <cell r="P1172">
            <v>22490</v>
          </cell>
        </row>
        <row r="1173">
          <cell r="O1173">
            <v>2580</v>
          </cell>
          <cell r="P1173">
            <v>6297</v>
          </cell>
        </row>
        <row r="1174">
          <cell r="O1174">
            <v>2166</v>
          </cell>
          <cell r="P1174">
            <v>3339</v>
          </cell>
        </row>
        <row r="1175">
          <cell r="O1175">
            <v>5869</v>
          </cell>
          <cell r="P1175">
            <v>23413</v>
          </cell>
        </row>
        <row r="1176">
          <cell r="O1176">
            <v>8008</v>
          </cell>
          <cell r="P1176">
            <v>22792</v>
          </cell>
        </row>
        <row r="1177">
          <cell r="O1177">
            <v>5206</v>
          </cell>
          <cell r="P1177">
            <v>4973</v>
          </cell>
        </row>
        <row r="1178">
          <cell r="O1178">
            <v>5295</v>
          </cell>
          <cell r="P1178">
            <v>7693</v>
          </cell>
        </row>
        <row r="1179">
          <cell r="O1179">
            <v>16413</v>
          </cell>
          <cell r="P1179">
            <v>3498</v>
          </cell>
        </row>
        <row r="1180">
          <cell r="O1180">
            <v>13269</v>
          </cell>
          <cell r="P1180">
            <v>21981</v>
          </cell>
        </row>
        <row r="1181">
          <cell r="O1181">
            <v>2783</v>
          </cell>
          <cell r="P1181">
            <v>13251</v>
          </cell>
        </row>
        <row r="1182">
          <cell r="O1182">
            <v>5433</v>
          </cell>
          <cell r="P1182">
            <v>19332</v>
          </cell>
        </row>
        <row r="1183">
          <cell r="O1183">
            <v>2013</v>
          </cell>
          <cell r="P1183">
            <v>10950</v>
          </cell>
        </row>
        <row r="1184">
          <cell r="O1184">
            <v>13966</v>
          </cell>
          <cell r="P1184">
            <v>11652</v>
          </cell>
        </row>
        <row r="1185">
          <cell r="O1185">
            <v>4374</v>
          </cell>
          <cell r="P1185">
            <v>15411</v>
          </cell>
        </row>
        <row r="1186">
          <cell r="O1186">
            <v>6842</v>
          </cell>
          <cell r="P1186">
            <v>26308</v>
          </cell>
        </row>
        <row r="1187">
          <cell r="O1187">
            <v>17426</v>
          </cell>
          <cell r="P1187">
            <v>18685</v>
          </cell>
        </row>
        <row r="1188">
          <cell r="O1188">
            <v>17603</v>
          </cell>
          <cell r="P1188">
            <v>3525</v>
          </cell>
        </row>
        <row r="1189">
          <cell r="O1189">
            <v>4581</v>
          </cell>
          <cell r="P1189">
            <v>10414</v>
          </cell>
        </row>
        <row r="1190">
          <cell r="O1190">
            <v>4735</v>
          </cell>
          <cell r="P1190">
            <v>9867</v>
          </cell>
        </row>
        <row r="1191">
          <cell r="O1191">
            <v>4187</v>
          </cell>
          <cell r="P1191">
            <v>3356</v>
          </cell>
        </row>
        <row r="1192">
          <cell r="O1192">
            <v>5505</v>
          </cell>
          <cell r="P1192">
            <v>3921</v>
          </cell>
        </row>
        <row r="1193">
          <cell r="O1193">
            <v>5470</v>
          </cell>
          <cell r="P1193">
            <v>25518</v>
          </cell>
        </row>
        <row r="1194">
          <cell r="O1194">
            <v>5476</v>
          </cell>
          <cell r="P1194">
            <v>22589</v>
          </cell>
        </row>
        <row r="1195">
          <cell r="O1195">
            <v>2587</v>
          </cell>
          <cell r="P1195">
            <v>24941</v>
          </cell>
        </row>
        <row r="1196">
          <cell r="O1196">
            <v>2440</v>
          </cell>
          <cell r="P1196">
            <v>23826</v>
          </cell>
        </row>
        <row r="1197">
          <cell r="O1197">
            <v>15972</v>
          </cell>
          <cell r="P1197">
            <v>21086</v>
          </cell>
        </row>
        <row r="1198">
          <cell r="O1198">
            <v>15379</v>
          </cell>
          <cell r="P1198">
            <v>22384</v>
          </cell>
        </row>
        <row r="1199">
          <cell r="O1199">
            <v>7082</v>
          </cell>
          <cell r="P1199">
            <v>11591</v>
          </cell>
        </row>
        <row r="1200">
          <cell r="O1200">
            <v>2728</v>
          </cell>
          <cell r="P1200">
            <v>21082</v>
          </cell>
        </row>
        <row r="1201">
          <cell r="O1201">
            <v>5368</v>
          </cell>
          <cell r="P1201">
            <v>16130</v>
          </cell>
        </row>
        <row r="1202">
          <cell r="O1202">
            <v>5347</v>
          </cell>
          <cell r="P1202">
            <v>7419</v>
          </cell>
        </row>
        <row r="1203">
          <cell r="O1203">
            <v>3195</v>
          </cell>
          <cell r="P1203">
            <v>4167</v>
          </cell>
        </row>
        <row r="1204">
          <cell r="O1204">
            <v>3989</v>
          </cell>
          <cell r="P1204">
            <v>20586</v>
          </cell>
        </row>
        <row r="1205">
          <cell r="O1205">
            <v>3306</v>
          </cell>
          <cell r="P1205">
            <v>26176</v>
          </cell>
        </row>
        <row r="1206">
          <cell r="O1206">
            <v>7005</v>
          </cell>
          <cell r="P1206">
            <v>3458</v>
          </cell>
        </row>
        <row r="1207">
          <cell r="O1207">
            <v>2655</v>
          </cell>
          <cell r="P1207">
            <v>11740</v>
          </cell>
        </row>
        <row r="1208">
          <cell r="O1208">
            <v>1393</v>
          </cell>
          <cell r="P1208">
            <v>24852</v>
          </cell>
        </row>
        <row r="1209">
          <cell r="O1209">
            <v>2570</v>
          </cell>
          <cell r="P1209">
            <v>11925</v>
          </cell>
        </row>
        <row r="1210">
          <cell r="O1210">
            <v>3537</v>
          </cell>
          <cell r="P1210">
            <v>23737</v>
          </cell>
        </row>
        <row r="1211">
          <cell r="O1211">
            <v>3986</v>
          </cell>
          <cell r="P1211">
            <v>11912</v>
          </cell>
        </row>
        <row r="1212">
          <cell r="O1212">
            <v>10883</v>
          </cell>
          <cell r="P1212">
            <v>20467</v>
          </cell>
        </row>
        <row r="1213">
          <cell r="O1213">
            <v>2028</v>
          </cell>
          <cell r="P1213">
            <v>13637</v>
          </cell>
        </row>
        <row r="1214">
          <cell r="O1214">
            <v>9525</v>
          </cell>
          <cell r="P1214">
            <v>7677</v>
          </cell>
        </row>
        <row r="1215">
          <cell r="O1215">
            <v>2929</v>
          </cell>
          <cell r="P1215">
            <v>20338</v>
          </cell>
        </row>
        <row r="1216">
          <cell r="O1216">
            <v>2275</v>
          </cell>
          <cell r="P1216">
            <v>25103</v>
          </cell>
        </row>
        <row r="1217">
          <cell r="O1217">
            <v>7879</v>
          </cell>
          <cell r="P1217">
            <v>14810</v>
          </cell>
        </row>
        <row r="1218">
          <cell r="O1218">
            <v>4930</v>
          </cell>
          <cell r="P1218">
            <v>13970</v>
          </cell>
        </row>
        <row r="1219">
          <cell r="O1219">
            <v>7847</v>
          </cell>
          <cell r="P1219">
            <v>6069</v>
          </cell>
        </row>
        <row r="1220">
          <cell r="O1220">
            <v>4401</v>
          </cell>
          <cell r="P1220">
            <v>17616</v>
          </cell>
        </row>
        <row r="1221">
          <cell r="O1221">
            <v>9241</v>
          </cell>
          <cell r="P1221">
            <v>15869</v>
          </cell>
        </row>
        <row r="1222">
          <cell r="O1222">
            <v>2974</v>
          </cell>
          <cell r="P1222">
            <v>25412</v>
          </cell>
        </row>
        <row r="1223">
          <cell r="O1223">
            <v>4502</v>
          </cell>
          <cell r="P1223">
            <v>7439</v>
          </cell>
        </row>
        <row r="1224">
          <cell r="O1224">
            <v>10748</v>
          </cell>
          <cell r="P1224">
            <v>3395</v>
          </cell>
        </row>
        <row r="1225">
          <cell r="O1225">
            <v>1555</v>
          </cell>
          <cell r="P1225">
            <v>11585</v>
          </cell>
        </row>
        <row r="1226">
          <cell r="O1226">
            <v>12936</v>
          </cell>
          <cell r="P1226">
            <v>24164</v>
          </cell>
        </row>
        <row r="1227">
          <cell r="O1227">
            <v>2305</v>
          </cell>
          <cell r="P1227">
            <v>6217</v>
          </cell>
        </row>
        <row r="1228">
          <cell r="O1228">
            <v>16704</v>
          </cell>
          <cell r="P1228">
            <v>17119</v>
          </cell>
        </row>
        <row r="1229">
          <cell r="O1229">
            <v>3433</v>
          </cell>
          <cell r="P1229">
            <v>17360</v>
          </cell>
        </row>
        <row r="1230">
          <cell r="O1230">
            <v>3477</v>
          </cell>
          <cell r="P1230">
            <v>18103</v>
          </cell>
        </row>
        <row r="1231">
          <cell r="O1231">
            <v>6430</v>
          </cell>
          <cell r="P1231">
            <v>20794</v>
          </cell>
        </row>
        <row r="1232">
          <cell r="O1232">
            <v>6516</v>
          </cell>
          <cell r="P1232">
            <v>5041</v>
          </cell>
        </row>
        <row r="1233">
          <cell r="O1233">
            <v>3907</v>
          </cell>
          <cell r="P1233">
            <v>3622</v>
          </cell>
        </row>
        <row r="1234">
          <cell r="O1234">
            <v>5562</v>
          </cell>
          <cell r="P1234">
            <v>9697</v>
          </cell>
        </row>
        <row r="1235">
          <cell r="O1235">
            <v>6883</v>
          </cell>
          <cell r="P1235">
            <v>5151</v>
          </cell>
        </row>
        <row r="1236">
          <cell r="O1236">
            <v>2862</v>
          </cell>
          <cell r="P1236">
            <v>3811</v>
          </cell>
        </row>
        <row r="1237">
          <cell r="O1237">
            <v>4978</v>
          </cell>
          <cell r="P1237">
            <v>3536</v>
          </cell>
        </row>
        <row r="1238">
          <cell r="O1238">
            <v>10368</v>
          </cell>
          <cell r="P1238">
            <v>5596</v>
          </cell>
        </row>
        <row r="1239">
          <cell r="O1239">
            <v>6134</v>
          </cell>
          <cell r="P1239">
            <v>8658</v>
          </cell>
        </row>
        <row r="1240">
          <cell r="O1240">
            <v>6735</v>
          </cell>
          <cell r="P1240">
            <v>12147</v>
          </cell>
        </row>
        <row r="1241">
          <cell r="O1241">
            <v>3295</v>
          </cell>
          <cell r="P1241">
            <v>12862</v>
          </cell>
        </row>
        <row r="1242">
          <cell r="O1242">
            <v>5238</v>
          </cell>
          <cell r="P1242">
            <v>6670</v>
          </cell>
        </row>
        <row r="1243">
          <cell r="O1243">
            <v>6472</v>
          </cell>
          <cell r="P1243">
            <v>8989</v>
          </cell>
        </row>
        <row r="1244">
          <cell r="O1244">
            <v>9610</v>
          </cell>
          <cell r="P1244">
            <v>3840</v>
          </cell>
        </row>
        <row r="1245">
          <cell r="O1245">
            <v>19833</v>
          </cell>
          <cell r="P1245">
            <v>4349</v>
          </cell>
        </row>
        <row r="1246">
          <cell r="O1246">
            <v>9756</v>
          </cell>
          <cell r="P1246">
            <v>6595</v>
          </cell>
        </row>
        <row r="1247">
          <cell r="O1247">
            <v>4968</v>
          </cell>
          <cell r="P1247">
            <v>26427</v>
          </cell>
        </row>
        <row r="1248">
          <cell r="O1248">
            <v>2145</v>
          </cell>
          <cell r="P1248">
            <v>2097</v>
          </cell>
        </row>
        <row r="1249">
          <cell r="O1249">
            <v>2180</v>
          </cell>
          <cell r="P1249">
            <v>9732</v>
          </cell>
        </row>
        <row r="1250">
          <cell r="O1250">
            <v>8346</v>
          </cell>
          <cell r="P1250">
            <v>20943</v>
          </cell>
        </row>
        <row r="1251">
          <cell r="O1251">
            <v>3445</v>
          </cell>
          <cell r="P1251">
            <v>6152</v>
          </cell>
        </row>
        <row r="1252">
          <cell r="O1252">
            <v>2760</v>
          </cell>
          <cell r="P1252">
            <v>14630</v>
          </cell>
        </row>
        <row r="1253">
          <cell r="O1253">
            <v>6294</v>
          </cell>
          <cell r="P1253">
            <v>23060</v>
          </cell>
        </row>
        <row r="1254">
          <cell r="O1254">
            <v>7140</v>
          </cell>
          <cell r="P1254">
            <v>3088</v>
          </cell>
        </row>
        <row r="1255">
          <cell r="O1255">
            <v>2932</v>
          </cell>
          <cell r="P1255">
            <v>5586</v>
          </cell>
        </row>
        <row r="1256">
          <cell r="O1256">
            <v>5147</v>
          </cell>
          <cell r="P1256">
            <v>10697</v>
          </cell>
        </row>
        <row r="1257">
          <cell r="O1257">
            <v>4507</v>
          </cell>
          <cell r="P1257">
            <v>8191</v>
          </cell>
        </row>
        <row r="1258">
          <cell r="O1258">
            <v>8564</v>
          </cell>
          <cell r="P1258">
            <v>10092</v>
          </cell>
        </row>
        <row r="1259">
          <cell r="O1259">
            <v>2468</v>
          </cell>
          <cell r="P1259">
            <v>15963</v>
          </cell>
        </row>
        <row r="1260">
          <cell r="O1260">
            <v>8161</v>
          </cell>
          <cell r="P1260">
            <v>19002</v>
          </cell>
        </row>
        <row r="1261">
          <cell r="O1261">
            <v>2109</v>
          </cell>
          <cell r="P1261">
            <v>10007</v>
          </cell>
        </row>
        <row r="1262">
          <cell r="O1262">
            <v>5294</v>
          </cell>
          <cell r="P1262">
            <v>9128</v>
          </cell>
        </row>
        <row r="1263">
          <cell r="O1263">
            <v>2718</v>
          </cell>
          <cell r="P1263">
            <v>17674</v>
          </cell>
        </row>
        <row r="1264">
          <cell r="O1264">
            <v>5811</v>
          </cell>
          <cell r="P1264">
            <v>24539</v>
          </cell>
        </row>
        <row r="1265">
          <cell r="O1265">
            <v>2437</v>
          </cell>
          <cell r="P1265">
            <v>15587</v>
          </cell>
        </row>
        <row r="1266">
          <cell r="O1266">
            <v>2766</v>
          </cell>
          <cell r="P1266">
            <v>8952</v>
          </cell>
        </row>
        <row r="1267">
          <cell r="O1267">
            <v>19038</v>
          </cell>
          <cell r="P1267">
            <v>19805</v>
          </cell>
        </row>
        <row r="1268">
          <cell r="O1268">
            <v>3055</v>
          </cell>
          <cell r="P1268">
            <v>6194</v>
          </cell>
        </row>
        <row r="1269">
          <cell r="O1269">
            <v>2289</v>
          </cell>
          <cell r="P1269">
            <v>20520</v>
          </cell>
        </row>
        <row r="1270">
          <cell r="O1270">
            <v>4001</v>
          </cell>
          <cell r="P1270">
            <v>12313</v>
          </cell>
        </row>
        <row r="1271">
          <cell r="O1271">
            <v>12965</v>
          </cell>
          <cell r="P1271">
            <v>22308</v>
          </cell>
        </row>
        <row r="1272">
          <cell r="O1272">
            <v>3539</v>
          </cell>
          <cell r="P1272">
            <v>5033</v>
          </cell>
        </row>
        <row r="1273">
          <cell r="O1273">
            <v>6029</v>
          </cell>
          <cell r="P1273">
            <v>25353</v>
          </cell>
        </row>
        <row r="1274">
          <cell r="O1274">
            <v>2679</v>
          </cell>
          <cell r="P1274">
            <v>4567</v>
          </cell>
        </row>
        <row r="1275">
          <cell r="O1275">
            <v>3702</v>
          </cell>
          <cell r="P1275">
            <v>16376</v>
          </cell>
        </row>
        <row r="1276">
          <cell r="O1276">
            <v>2398</v>
          </cell>
          <cell r="P1276">
            <v>15999</v>
          </cell>
        </row>
        <row r="1277">
          <cell r="O1277">
            <v>5468</v>
          </cell>
          <cell r="P1277">
            <v>13402</v>
          </cell>
        </row>
        <row r="1278">
          <cell r="O1278">
            <v>13116</v>
          </cell>
          <cell r="P1278">
            <v>22984</v>
          </cell>
        </row>
        <row r="1279">
          <cell r="O1279">
            <v>4189</v>
          </cell>
          <cell r="P1279">
            <v>8800</v>
          </cell>
        </row>
        <row r="1280">
          <cell r="O1280">
            <v>19328</v>
          </cell>
          <cell r="P1280">
            <v>14218</v>
          </cell>
        </row>
        <row r="1281">
          <cell r="O1281">
            <v>8321</v>
          </cell>
          <cell r="P1281">
            <v>25949</v>
          </cell>
        </row>
        <row r="1282">
          <cell r="O1282">
            <v>2342</v>
          </cell>
          <cell r="P1282">
            <v>11092</v>
          </cell>
        </row>
        <row r="1283">
          <cell r="O1283">
            <v>4071</v>
          </cell>
          <cell r="P1283">
            <v>12832</v>
          </cell>
        </row>
        <row r="1284">
          <cell r="O1284">
            <v>5813</v>
          </cell>
          <cell r="P1284">
            <v>13492</v>
          </cell>
        </row>
        <row r="1285">
          <cell r="O1285">
            <v>3143</v>
          </cell>
          <cell r="P1285">
            <v>6076</v>
          </cell>
        </row>
        <row r="1286">
          <cell r="O1286">
            <v>2044</v>
          </cell>
          <cell r="P1286">
            <v>5531</v>
          </cell>
        </row>
        <row r="1287">
          <cell r="O1287">
            <v>13464</v>
          </cell>
          <cell r="P1287">
            <v>7914</v>
          </cell>
        </row>
        <row r="1288">
          <cell r="O1288">
            <v>7991</v>
          </cell>
          <cell r="P1288">
            <v>25166</v>
          </cell>
        </row>
        <row r="1289">
          <cell r="O1289">
            <v>3377</v>
          </cell>
          <cell r="P1289">
            <v>25605</v>
          </cell>
        </row>
        <row r="1290">
          <cell r="O1290">
            <v>5538</v>
          </cell>
          <cell r="P1290">
            <v>5696</v>
          </cell>
        </row>
        <row r="1291">
          <cell r="O1291">
            <v>5762</v>
          </cell>
          <cell r="P1291">
            <v>24442</v>
          </cell>
        </row>
        <row r="1292">
          <cell r="O1292">
            <v>2592</v>
          </cell>
          <cell r="P1292">
            <v>7129</v>
          </cell>
        </row>
        <row r="1293">
          <cell r="O1293">
            <v>5346</v>
          </cell>
          <cell r="P1293">
            <v>6208</v>
          </cell>
        </row>
        <row r="1294">
          <cell r="O1294">
            <v>4213</v>
          </cell>
          <cell r="P1294">
            <v>4992</v>
          </cell>
        </row>
        <row r="1295">
          <cell r="O1295">
            <v>4127</v>
          </cell>
          <cell r="P1295">
            <v>19188</v>
          </cell>
        </row>
        <row r="1296">
          <cell r="O1296">
            <v>2438</v>
          </cell>
          <cell r="P1296">
            <v>24978</v>
          </cell>
        </row>
        <row r="1297">
          <cell r="O1297">
            <v>6870</v>
          </cell>
          <cell r="P1297">
            <v>15530</v>
          </cell>
        </row>
        <row r="1298">
          <cell r="O1298">
            <v>10447</v>
          </cell>
          <cell r="P1298">
            <v>26458</v>
          </cell>
        </row>
        <row r="1299">
          <cell r="O1299">
            <v>9667</v>
          </cell>
          <cell r="P1299">
            <v>2739</v>
          </cell>
        </row>
        <row r="1300">
          <cell r="O1300">
            <v>2148</v>
          </cell>
          <cell r="P1300">
            <v>6889</v>
          </cell>
        </row>
        <row r="1301">
          <cell r="O1301">
            <v>8926</v>
          </cell>
          <cell r="P1301">
            <v>10842</v>
          </cell>
        </row>
        <row r="1302">
          <cell r="O1302">
            <v>6513</v>
          </cell>
          <cell r="P1302">
            <v>9060</v>
          </cell>
        </row>
        <row r="1303">
          <cell r="O1303">
            <v>6799</v>
          </cell>
          <cell r="P1303">
            <v>22128</v>
          </cell>
        </row>
        <row r="1304">
          <cell r="O1304">
            <v>16291</v>
          </cell>
          <cell r="P1304">
            <v>22577</v>
          </cell>
        </row>
        <row r="1305">
          <cell r="O1305">
            <v>2705</v>
          </cell>
          <cell r="P1305">
            <v>9696</v>
          </cell>
        </row>
        <row r="1306">
          <cell r="O1306">
            <v>10333</v>
          </cell>
          <cell r="P1306">
            <v>19271</v>
          </cell>
        </row>
        <row r="1307">
          <cell r="O1307">
            <v>4448</v>
          </cell>
          <cell r="P1307">
            <v>10748</v>
          </cell>
        </row>
        <row r="1308">
          <cell r="O1308">
            <v>6854</v>
          </cell>
          <cell r="P1308">
            <v>15696</v>
          </cell>
        </row>
        <row r="1309">
          <cell r="O1309">
            <v>9637</v>
          </cell>
          <cell r="P1309">
            <v>8277</v>
          </cell>
        </row>
        <row r="1310">
          <cell r="O1310">
            <v>3591</v>
          </cell>
          <cell r="P1310">
            <v>12719</v>
          </cell>
        </row>
        <row r="1311">
          <cell r="O1311">
            <v>5405</v>
          </cell>
          <cell r="P1311">
            <v>4244</v>
          </cell>
        </row>
        <row r="1312">
          <cell r="O1312">
            <v>4684</v>
          </cell>
          <cell r="P1312">
            <v>9125</v>
          </cell>
        </row>
        <row r="1313">
          <cell r="O1313">
            <v>15787</v>
          </cell>
          <cell r="P1313">
            <v>21624</v>
          </cell>
        </row>
        <row r="1314">
          <cell r="O1314">
            <v>1514</v>
          </cell>
          <cell r="P1314">
            <v>8018</v>
          </cell>
        </row>
        <row r="1315">
          <cell r="O1315">
            <v>2956</v>
          </cell>
          <cell r="P1315">
            <v>21495</v>
          </cell>
        </row>
        <row r="1316">
          <cell r="O1316">
            <v>2335</v>
          </cell>
          <cell r="P1316">
            <v>3157</v>
          </cell>
        </row>
        <row r="1317">
          <cell r="O1317">
            <v>5154</v>
          </cell>
          <cell r="P1317">
            <v>19665</v>
          </cell>
        </row>
        <row r="1318">
          <cell r="O1318">
            <v>6962</v>
          </cell>
          <cell r="P1318">
            <v>19573</v>
          </cell>
        </row>
        <row r="1319">
          <cell r="O1319">
            <v>5675</v>
          </cell>
          <cell r="P1319">
            <v>19246</v>
          </cell>
        </row>
        <row r="1320">
          <cell r="O1320">
            <v>2379</v>
          </cell>
          <cell r="P1320">
            <v>19826</v>
          </cell>
        </row>
        <row r="1321">
          <cell r="O1321">
            <v>3812</v>
          </cell>
          <cell r="P1321">
            <v>7003</v>
          </cell>
        </row>
        <row r="1322">
          <cell r="O1322">
            <v>4648</v>
          </cell>
          <cell r="P1322">
            <v>26075</v>
          </cell>
        </row>
        <row r="1323">
          <cell r="O1323">
            <v>2936</v>
          </cell>
          <cell r="P1323">
            <v>6161</v>
          </cell>
        </row>
        <row r="1324">
          <cell r="O1324">
            <v>2105</v>
          </cell>
          <cell r="P1324">
            <v>5411</v>
          </cell>
        </row>
        <row r="1325">
          <cell r="O1325">
            <v>8578</v>
          </cell>
          <cell r="P1325">
            <v>19989</v>
          </cell>
        </row>
        <row r="1326">
          <cell r="O1326">
            <v>2706</v>
          </cell>
          <cell r="P1326">
            <v>10494</v>
          </cell>
        </row>
        <row r="1327">
          <cell r="O1327">
            <v>6384</v>
          </cell>
          <cell r="P1327">
            <v>21143</v>
          </cell>
        </row>
        <row r="1328">
          <cell r="O1328">
            <v>3968</v>
          </cell>
          <cell r="P1328">
            <v>13624</v>
          </cell>
        </row>
        <row r="1329">
          <cell r="O1329">
            <v>9907</v>
          </cell>
          <cell r="P1329">
            <v>26186</v>
          </cell>
        </row>
        <row r="1330">
          <cell r="O1330">
            <v>13225</v>
          </cell>
          <cell r="P1330">
            <v>7739</v>
          </cell>
        </row>
        <row r="1331">
          <cell r="O1331">
            <v>3540</v>
          </cell>
          <cell r="P1331">
            <v>7018</v>
          </cell>
        </row>
        <row r="1332">
          <cell r="O1332">
            <v>2804</v>
          </cell>
          <cell r="P1332">
            <v>15434</v>
          </cell>
        </row>
        <row r="1333">
          <cell r="O1333">
            <v>19392</v>
          </cell>
          <cell r="P1333">
            <v>22539</v>
          </cell>
        </row>
        <row r="1334">
          <cell r="O1334">
            <v>19665</v>
          </cell>
          <cell r="P1334">
            <v>13583</v>
          </cell>
        </row>
        <row r="1335">
          <cell r="O1335">
            <v>2439</v>
          </cell>
          <cell r="P1335">
            <v>14753</v>
          </cell>
        </row>
        <row r="1336">
          <cell r="O1336">
            <v>7314</v>
          </cell>
          <cell r="P1336">
            <v>14011</v>
          </cell>
        </row>
        <row r="1337">
          <cell r="O1337">
            <v>4774</v>
          </cell>
          <cell r="P1337">
            <v>23844</v>
          </cell>
        </row>
        <row r="1338">
          <cell r="O1338">
            <v>3902</v>
          </cell>
          <cell r="P1338">
            <v>5141</v>
          </cell>
        </row>
        <row r="1339">
          <cell r="O1339">
            <v>2662</v>
          </cell>
          <cell r="P1339">
            <v>7975</v>
          </cell>
        </row>
        <row r="1340">
          <cell r="O1340">
            <v>2856</v>
          </cell>
          <cell r="P1340">
            <v>3692</v>
          </cell>
        </row>
        <row r="1341">
          <cell r="O1341">
            <v>1081</v>
          </cell>
          <cell r="P1341">
            <v>16019</v>
          </cell>
        </row>
        <row r="1342">
          <cell r="O1342">
            <v>2472</v>
          </cell>
          <cell r="P1342">
            <v>26092</v>
          </cell>
        </row>
        <row r="1343">
          <cell r="O1343">
            <v>5673</v>
          </cell>
          <cell r="P1343">
            <v>6060</v>
          </cell>
        </row>
        <row r="1344">
          <cell r="O1344">
            <v>4197</v>
          </cell>
          <cell r="P1344">
            <v>18624</v>
          </cell>
        </row>
        <row r="1345">
          <cell r="O1345">
            <v>9713</v>
          </cell>
          <cell r="P1345">
            <v>24444</v>
          </cell>
        </row>
        <row r="1346">
          <cell r="O1346">
            <v>2062</v>
          </cell>
          <cell r="P1346">
            <v>19384</v>
          </cell>
        </row>
        <row r="1347">
          <cell r="O1347">
            <v>4284</v>
          </cell>
          <cell r="P1347">
            <v>13588</v>
          </cell>
        </row>
        <row r="1348">
          <cell r="O1348">
            <v>4788</v>
          </cell>
          <cell r="P1348">
            <v>25388</v>
          </cell>
        </row>
        <row r="1349">
          <cell r="O1349">
            <v>5906</v>
          </cell>
          <cell r="P1349">
            <v>23888</v>
          </cell>
        </row>
        <row r="1350">
          <cell r="O1350">
            <v>3886</v>
          </cell>
          <cell r="P1350">
            <v>4223</v>
          </cell>
        </row>
        <row r="1351">
          <cell r="O1351">
            <v>16823</v>
          </cell>
          <cell r="P1351">
            <v>18991</v>
          </cell>
        </row>
        <row r="1352">
          <cell r="O1352">
            <v>2933</v>
          </cell>
          <cell r="P1352">
            <v>14908</v>
          </cell>
        </row>
        <row r="1353">
          <cell r="O1353">
            <v>6500</v>
          </cell>
          <cell r="P1353">
            <v>26997</v>
          </cell>
        </row>
        <row r="1354">
          <cell r="O1354">
            <v>17174</v>
          </cell>
          <cell r="P1354">
            <v>2437</v>
          </cell>
        </row>
        <row r="1355">
          <cell r="O1355">
            <v>5033</v>
          </cell>
          <cell r="P1355">
            <v>9364</v>
          </cell>
        </row>
        <row r="1356">
          <cell r="O1356">
            <v>2307</v>
          </cell>
          <cell r="P1356">
            <v>14460</v>
          </cell>
        </row>
        <row r="1357">
          <cell r="O1357">
            <v>2587</v>
          </cell>
          <cell r="P1357">
            <v>10261</v>
          </cell>
        </row>
        <row r="1358">
          <cell r="O1358">
            <v>5507</v>
          </cell>
          <cell r="P1358">
            <v>16822</v>
          </cell>
        </row>
        <row r="1359">
          <cell r="O1359">
            <v>4393</v>
          </cell>
          <cell r="P1359">
            <v>26841</v>
          </cell>
        </row>
        <row r="1360">
          <cell r="O1360">
            <v>13348</v>
          </cell>
          <cell r="P1360">
            <v>14842</v>
          </cell>
        </row>
        <row r="1361">
          <cell r="O1361">
            <v>6583</v>
          </cell>
          <cell r="P1361">
            <v>20115</v>
          </cell>
        </row>
        <row r="1362">
          <cell r="O1362">
            <v>8103</v>
          </cell>
          <cell r="P1362">
            <v>16495</v>
          </cell>
        </row>
        <row r="1363">
          <cell r="O1363">
            <v>3978</v>
          </cell>
          <cell r="P1363">
            <v>16031</v>
          </cell>
        </row>
        <row r="1364">
          <cell r="O1364">
            <v>2544</v>
          </cell>
          <cell r="P1364">
            <v>7102</v>
          </cell>
        </row>
        <row r="1365">
          <cell r="O1365">
            <v>5399</v>
          </cell>
          <cell r="P1365">
            <v>14511</v>
          </cell>
        </row>
        <row r="1366">
          <cell r="O1366">
            <v>5487</v>
          </cell>
          <cell r="P1366">
            <v>10410</v>
          </cell>
        </row>
        <row r="1367">
          <cell r="O1367">
            <v>6834</v>
          </cell>
          <cell r="P1367">
            <v>19255</v>
          </cell>
        </row>
        <row r="1368">
          <cell r="O1368">
            <v>1091</v>
          </cell>
          <cell r="P1368">
            <v>10642</v>
          </cell>
        </row>
        <row r="1369">
          <cell r="O1369">
            <v>5736</v>
          </cell>
          <cell r="P1369">
            <v>3987</v>
          </cell>
        </row>
        <row r="1370">
          <cell r="O1370">
            <v>2226</v>
          </cell>
          <cell r="P1370">
            <v>6073</v>
          </cell>
        </row>
        <row r="1371">
          <cell r="O1371">
            <v>5747</v>
          </cell>
          <cell r="P1371">
            <v>26496</v>
          </cell>
        </row>
        <row r="1372">
          <cell r="O1372">
            <v>9854</v>
          </cell>
          <cell r="P1372">
            <v>23352</v>
          </cell>
        </row>
        <row r="1373">
          <cell r="O1373">
            <v>5467</v>
          </cell>
          <cell r="P1373">
            <v>2125</v>
          </cell>
        </row>
        <row r="1374">
          <cell r="O1374">
            <v>5380</v>
          </cell>
          <cell r="P1374">
            <v>20328</v>
          </cell>
        </row>
        <row r="1375">
          <cell r="O1375">
            <v>5151</v>
          </cell>
          <cell r="P1375">
            <v>12315</v>
          </cell>
        </row>
        <row r="1376">
          <cell r="O1376">
            <v>2133</v>
          </cell>
          <cell r="P1376">
            <v>18115</v>
          </cell>
        </row>
        <row r="1377">
          <cell r="O1377">
            <v>17875</v>
          </cell>
          <cell r="P1377">
            <v>11761</v>
          </cell>
        </row>
        <row r="1378">
          <cell r="O1378">
            <v>2432</v>
          </cell>
          <cell r="P1378">
            <v>15318</v>
          </cell>
        </row>
        <row r="1379">
          <cell r="O1379">
            <v>4771</v>
          </cell>
          <cell r="P1379">
            <v>14293</v>
          </cell>
        </row>
        <row r="1380">
          <cell r="O1380">
            <v>19161</v>
          </cell>
          <cell r="P1380">
            <v>13738</v>
          </cell>
        </row>
        <row r="1381">
          <cell r="O1381">
            <v>5087</v>
          </cell>
          <cell r="P1381">
            <v>2900</v>
          </cell>
        </row>
        <row r="1382">
          <cell r="O1382">
            <v>2863</v>
          </cell>
          <cell r="P1382">
            <v>19555</v>
          </cell>
        </row>
        <row r="1383">
          <cell r="O1383">
            <v>5561</v>
          </cell>
          <cell r="P1383">
            <v>15975</v>
          </cell>
        </row>
        <row r="1384">
          <cell r="O1384">
            <v>2144</v>
          </cell>
          <cell r="P1384">
            <v>2122</v>
          </cell>
        </row>
        <row r="1385">
          <cell r="O1385">
            <v>3065</v>
          </cell>
          <cell r="P1385">
            <v>3995</v>
          </cell>
        </row>
        <row r="1386">
          <cell r="O1386">
            <v>2810</v>
          </cell>
          <cell r="P1386">
            <v>9238</v>
          </cell>
        </row>
        <row r="1387">
          <cell r="O1387">
            <v>9888</v>
          </cell>
          <cell r="P1387">
            <v>6770</v>
          </cell>
        </row>
        <row r="1388">
          <cell r="O1388">
            <v>8628</v>
          </cell>
          <cell r="P1388">
            <v>22914</v>
          </cell>
        </row>
        <row r="1389">
          <cell r="O1389">
            <v>2867</v>
          </cell>
          <cell r="P1389">
            <v>20006</v>
          </cell>
        </row>
        <row r="1390">
          <cell r="O1390">
            <v>5373</v>
          </cell>
          <cell r="P1390">
            <v>6225</v>
          </cell>
        </row>
        <row r="1391">
          <cell r="O1391">
            <v>6667</v>
          </cell>
          <cell r="P1391">
            <v>16542</v>
          </cell>
        </row>
        <row r="1392">
          <cell r="O1392">
            <v>5003</v>
          </cell>
          <cell r="P1392">
            <v>5771</v>
          </cell>
        </row>
        <row r="1393">
          <cell r="O1393">
            <v>2367</v>
          </cell>
          <cell r="P1393">
            <v>18779</v>
          </cell>
        </row>
        <row r="1394">
          <cell r="O1394">
            <v>2858</v>
          </cell>
          <cell r="P1394">
            <v>11473</v>
          </cell>
        </row>
        <row r="1395">
          <cell r="O1395">
            <v>5204</v>
          </cell>
          <cell r="P1395">
            <v>13586</v>
          </cell>
        </row>
        <row r="1396">
          <cell r="O1396">
            <v>4105</v>
          </cell>
          <cell r="P1396">
            <v>5099</v>
          </cell>
        </row>
        <row r="1397">
          <cell r="O1397">
            <v>9679</v>
          </cell>
          <cell r="P1397">
            <v>10138</v>
          </cell>
        </row>
        <row r="1398">
          <cell r="O1398">
            <v>5617</v>
          </cell>
          <cell r="P1398">
            <v>21075</v>
          </cell>
        </row>
        <row r="1399">
          <cell r="O1399">
            <v>10448</v>
          </cell>
          <cell r="P1399">
            <v>5843</v>
          </cell>
        </row>
        <row r="1400">
          <cell r="O1400">
            <v>2897</v>
          </cell>
          <cell r="P1400">
            <v>22474</v>
          </cell>
        </row>
        <row r="1401">
          <cell r="O1401">
            <v>5968</v>
          </cell>
          <cell r="P1401">
            <v>18079</v>
          </cell>
        </row>
        <row r="1402">
          <cell r="O1402">
            <v>7510</v>
          </cell>
          <cell r="P1402">
            <v>16873</v>
          </cell>
        </row>
        <row r="1403">
          <cell r="O1403">
            <v>2991</v>
          </cell>
          <cell r="P1403">
            <v>5224</v>
          </cell>
        </row>
        <row r="1404">
          <cell r="O1404">
            <v>19636</v>
          </cell>
          <cell r="P1404">
            <v>25811</v>
          </cell>
        </row>
        <row r="1405">
          <cell r="O1405">
            <v>1129</v>
          </cell>
          <cell r="P1405">
            <v>17536</v>
          </cell>
        </row>
        <row r="1406">
          <cell r="O1406">
            <v>13341</v>
          </cell>
          <cell r="P1406">
            <v>25098</v>
          </cell>
        </row>
        <row r="1407">
          <cell r="O1407">
            <v>4332</v>
          </cell>
          <cell r="P1407">
            <v>14811</v>
          </cell>
        </row>
        <row r="1408">
          <cell r="O1408">
            <v>11031</v>
          </cell>
          <cell r="P1408">
            <v>26862</v>
          </cell>
        </row>
        <row r="1409">
          <cell r="O1409">
            <v>4440</v>
          </cell>
          <cell r="P1409">
            <v>25198</v>
          </cell>
        </row>
        <row r="1410">
          <cell r="O1410">
            <v>4617</v>
          </cell>
          <cell r="P1410">
            <v>14120</v>
          </cell>
        </row>
        <row r="1411">
          <cell r="O1411">
            <v>2647</v>
          </cell>
          <cell r="P1411">
            <v>13672</v>
          </cell>
        </row>
        <row r="1412">
          <cell r="O1412">
            <v>6323</v>
          </cell>
          <cell r="P1412">
            <v>26849</v>
          </cell>
        </row>
        <row r="1413">
          <cell r="O1413">
            <v>5677</v>
          </cell>
          <cell r="P1413">
            <v>4258</v>
          </cell>
        </row>
        <row r="1414">
          <cell r="O1414">
            <v>2187</v>
          </cell>
          <cell r="P1414">
            <v>19655</v>
          </cell>
        </row>
        <row r="1415">
          <cell r="O1415">
            <v>3748</v>
          </cell>
          <cell r="P1415">
            <v>4077</v>
          </cell>
        </row>
        <row r="1416">
          <cell r="O1416">
            <v>3977</v>
          </cell>
          <cell r="P1416">
            <v>7298</v>
          </cell>
        </row>
        <row r="1417">
          <cell r="O1417">
            <v>8633</v>
          </cell>
          <cell r="P1417">
            <v>13084</v>
          </cell>
        </row>
        <row r="1418">
          <cell r="O1418">
            <v>2008</v>
          </cell>
          <cell r="P1418">
            <v>20439</v>
          </cell>
        </row>
        <row r="1419">
          <cell r="O1419">
            <v>4440</v>
          </cell>
          <cell r="P1419">
            <v>7636</v>
          </cell>
        </row>
        <row r="1420">
          <cell r="O1420">
            <v>3067</v>
          </cell>
          <cell r="P1420">
            <v>6393</v>
          </cell>
        </row>
        <row r="1421">
          <cell r="O1421">
            <v>5321</v>
          </cell>
          <cell r="P1421">
            <v>14284</v>
          </cell>
        </row>
        <row r="1422">
          <cell r="O1422">
            <v>5410</v>
          </cell>
          <cell r="P1422">
            <v>11189</v>
          </cell>
        </row>
        <row r="1423">
          <cell r="O1423">
            <v>2782</v>
          </cell>
          <cell r="P1423">
            <v>21412</v>
          </cell>
        </row>
        <row r="1424">
          <cell r="O1424">
            <v>11957</v>
          </cell>
          <cell r="P1424">
            <v>17231</v>
          </cell>
        </row>
        <row r="1425">
          <cell r="O1425">
            <v>2660</v>
          </cell>
          <cell r="P1425">
            <v>20232</v>
          </cell>
        </row>
        <row r="1426">
          <cell r="O1426">
            <v>3375</v>
          </cell>
          <cell r="P1426">
            <v>17624</v>
          </cell>
        </row>
        <row r="1427">
          <cell r="O1427">
            <v>5098</v>
          </cell>
          <cell r="P1427">
            <v>18698</v>
          </cell>
        </row>
        <row r="1428">
          <cell r="O1428">
            <v>4878</v>
          </cell>
          <cell r="P1428">
            <v>21653</v>
          </cell>
        </row>
        <row r="1429">
          <cell r="O1429">
            <v>2837</v>
          </cell>
          <cell r="P1429">
            <v>15919</v>
          </cell>
        </row>
        <row r="1430">
          <cell r="O1430">
            <v>2406</v>
          </cell>
          <cell r="P1430">
            <v>4060</v>
          </cell>
        </row>
        <row r="1431">
          <cell r="O1431">
            <v>2269</v>
          </cell>
          <cell r="P1431">
            <v>18024</v>
          </cell>
        </row>
        <row r="1432">
          <cell r="O1432">
            <v>4108</v>
          </cell>
          <cell r="P1432">
            <v>5340</v>
          </cell>
        </row>
        <row r="1433">
          <cell r="O1433">
            <v>13206</v>
          </cell>
          <cell r="P1433">
            <v>3376</v>
          </cell>
        </row>
        <row r="1434">
          <cell r="O1434">
            <v>10422</v>
          </cell>
          <cell r="P1434">
            <v>24032</v>
          </cell>
        </row>
        <row r="1435">
          <cell r="O1435">
            <v>13744</v>
          </cell>
          <cell r="P1435">
            <v>15471</v>
          </cell>
        </row>
        <row r="1436">
          <cell r="O1436">
            <v>4907</v>
          </cell>
          <cell r="P1436">
            <v>13684</v>
          </cell>
        </row>
        <row r="1437">
          <cell r="O1437">
            <v>3482</v>
          </cell>
          <cell r="P1437">
            <v>19788</v>
          </cell>
        </row>
        <row r="1438">
          <cell r="O1438">
            <v>2436</v>
          </cell>
          <cell r="P1438">
            <v>13422</v>
          </cell>
        </row>
        <row r="1439">
          <cell r="O1439">
            <v>2380</v>
          </cell>
          <cell r="P1439">
            <v>25479</v>
          </cell>
        </row>
        <row r="1440">
          <cell r="O1440">
            <v>19431</v>
          </cell>
          <cell r="P1440">
            <v>15302</v>
          </cell>
        </row>
        <row r="1441">
          <cell r="O1441">
            <v>1790</v>
          </cell>
          <cell r="P1441">
            <v>26956</v>
          </cell>
        </row>
        <row r="1442">
          <cell r="O1442">
            <v>7644</v>
          </cell>
          <cell r="P1442">
            <v>12695</v>
          </cell>
        </row>
        <row r="1443">
          <cell r="O1443">
            <v>5131</v>
          </cell>
          <cell r="P1443">
            <v>9192</v>
          </cell>
        </row>
        <row r="1444">
          <cell r="O1444">
            <v>6306</v>
          </cell>
          <cell r="P1444">
            <v>26236</v>
          </cell>
        </row>
        <row r="1445">
          <cell r="O1445">
            <v>4787</v>
          </cell>
          <cell r="P1445">
            <v>26124</v>
          </cell>
        </row>
        <row r="1446">
          <cell r="O1446">
            <v>18880</v>
          </cell>
          <cell r="P1446">
            <v>17312</v>
          </cell>
        </row>
        <row r="1447">
          <cell r="O1447">
            <v>2339</v>
          </cell>
          <cell r="P1447">
            <v>3666</v>
          </cell>
        </row>
        <row r="1448">
          <cell r="O1448">
            <v>13570</v>
          </cell>
          <cell r="P1448">
            <v>5640</v>
          </cell>
        </row>
        <row r="1449">
          <cell r="O1449">
            <v>6712</v>
          </cell>
          <cell r="P1449">
            <v>8978</v>
          </cell>
        </row>
        <row r="1450">
          <cell r="O1450">
            <v>5406</v>
          </cell>
          <cell r="P1450">
            <v>10436</v>
          </cell>
        </row>
        <row r="1451">
          <cell r="O1451">
            <v>8938</v>
          </cell>
          <cell r="P1451">
            <v>12227</v>
          </cell>
        </row>
        <row r="1452">
          <cell r="O1452">
            <v>2439</v>
          </cell>
          <cell r="P1452">
            <v>11288</v>
          </cell>
        </row>
        <row r="1453">
          <cell r="O1453">
            <v>8837</v>
          </cell>
          <cell r="P1453">
            <v>16642</v>
          </cell>
        </row>
        <row r="1454">
          <cell r="O1454">
            <v>5343</v>
          </cell>
          <cell r="P1454">
            <v>5982</v>
          </cell>
        </row>
        <row r="1455">
          <cell r="O1455">
            <v>6728</v>
          </cell>
          <cell r="P1455">
            <v>14255</v>
          </cell>
        </row>
        <row r="1456">
          <cell r="O1456">
            <v>6652</v>
          </cell>
          <cell r="P1456">
            <v>14369</v>
          </cell>
        </row>
        <row r="1457">
          <cell r="O1457">
            <v>4850</v>
          </cell>
          <cell r="P1457">
            <v>23333</v>
          </cell>
        </row>
        <row r="1458">
          <cell r="O1458">
            <v>2809</v>
          </cell>
          <cell r="P1458">
            <v>2725</v>
          </cell>
        </row>
        <row r="1459">
          <cell r="O1459">
            <v>5689</v>
          </cell>
          <cell r="P1459">
            <v>24594</v>
          </cell>
        </row>
        <row r="1460">
          <cell r="O1460">
            <v>2001</v>
          </cell>
          <cell r="P1460">
            <v>12549</v>
          </cell>
        </row>
        <row r="1461">
          <cell r="O1461">
            <v>2977</v>
          </cell>
          <cell r="P1461">
            <v>8952</v>
          </cell>
        </row>
        <row r="1462">
          <cell r="O1462">
            <v>4025</v>
          </cell>
          <cell r="P1462">
            <v>23679</v>
          </cell>
        </row>
        <row r="1463">
          <cell r="O1463">
            <v>3785</v>
          </cell>
          <cell r="P1463">
            <v>8489</v>
          </cell>
        </row>
        <row r="1464">
          <cell r="O1464">
            <v>10854</v>
          </cell>
          <cell r="P1464">
            <v>16586</v>
          </cell>
        </row>
        <row r="1465">
          <cell r="O1465">
            <v>12031</v>
          </cell>
          <cell r="P1465">
            <v>8828</v>
          </cell>
        </row>
        <row r="1466">
          <cell r="O1466">
            <v>9936</v>
          </cell>
          <cell r="P1466">
            <v>3787</v>
          </cell>
        </row>
        <row r="1467">
          <cell r="O1467">
            <v>2966</v>
          </cell>
          <cell r="P1467">
            <v>21378</v>
          </cell>
        </row>
        <row r="1468">
          <cell r="O1468">
            <v>2571</v>
          </cell>
          <cell r="P1468">
            <v>12290</v>
          </cell>
        </row>
        <row r="1469">
          <cell r="O1469">
            <v>9991</v>
          </cell>
          <cell r="P1469">
            <v>21457</v>
          </cell>
        </row>
        <row r="1470">
          <cell r="O1470">
            <v>6142</v>
          </cell>
          <cell r="P1470">
            <v>5174</v>
          </cell>
        </row>
        <row r="1471">
          <cell r="O1471">
            <v>5390</v>
          </cell>
          <cell r="P1471">
            <v>13243</v>
          </cell>
        </row>
        <row r="1472">
          <cell r="O1472">
            <v>4404</v>
          </cell>
          <cell r="P1472">
            <v>10228</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genda"/>
      <sheetName val="KeyboardShortcuts"/>
      <sheetName val="BasicFormatting"/>
      <sheetName val="Sorting&amp;Filtering"/>
      <sheetName val="MathsFunctions"/>
      <sheetName val="Tables"/>
      <sheetName val="TableQuestions"/>
      <sheetName val="TextFunctions"/>
      <sheetName val="DateFunctions"/>
      <sheetName val="LogicalFunctions"/>
      <sheetName val="VLookUp"/>
      <sheetName val="VLookup(Approx)"/>
      <sheetName val="HLookup"/>
      <sheetName val="XLookup"/>
      <sheetName val="ConditionalFormatting"/>
      <sheetName val="Charts"/>
      <sheetName val="ChartResults"/>
      <sheetName val="PivotTable1.1 (2)"/>
      <sheetName val="PivotResults1.1"/>
      <sheetName val="DataValidation"/>
    </sheetNames>
    <sheetDataSet>
      <sheetData sheetId="0"/>
      <sheetData sheetId="1"/>
      <sheetData sheetId="2"/>
      <sheetData sheetId="3"/>
      <sheetData sheetId="4">
        <row r="3">
          <cell r="D3">
            <v>150</v>
          </cell>
        </row>
        <row r="5">
          <cell r="D5">
            <v>250</v>
          </cell>
        </row>
        <row r="6">
          <cell r="D6">
            <v>200</v>
          </cell>
        </row>
        <row r="7">
          <cell r="D7">
            <v>500</v>
          </cell>
        </row>
        <row r="8">
          <cell r="D8">
            <v>1000</v>
          </cell>
        </row>
        <row r="9">
          <cell r="D9">
            <v>180</v>
          </cell>
        </row>
        <row r="11">
          <cell r="D11">
            <v>400</v>
          </cell>
        </row>
        <row r="12">
          <cell r="D12">
            <v>600</v>
          </cell>
        </row>
        <row r="13">
          <cell r="D13">
            <v>100</v>
          </cell>
        </row>
        <row r="14">
          <cell r="D14">
            <v>300</v>
          </cell>
        </row>
        <row r="15">
          <cell r="D15">
            <v>160</v>
          </cell>
        </row>
        <row r="17">
          <cell r="D17">
            <v>200</v>
          </cell>
        </row>
        <row r="18">
          <cell r="D18">
            <v>300</v>
          </cell>
        </row>
        <row r="19">
          <cell r="D19">
            <v>150</v>
          </cell>
        </row>
        <row r="20">
          <cell r="D20">
            <v>500</v>
          </cell>
        </row>
        <row r="21">
          <cell r="D21">
            <v>400</v>
          </cell>
        </row>
        <row r="22">
          <cell r="D22">
            <v>250</v>
          </cell>
        </row>
      </sheetData>
      <sheetData sheetId="5"/>
      <sheetData sheetId="6"/>
      <sheetData sheetId="7"/>
      <sheetData sheetId="8"/>
      <sheetData sheetId="9"/>
      <sheetData sheetId="10">
        <row r="1">
          <cell r="A1" t="str">
            <v>Order_ID</v>
          </cell>
        </row>
        <row r="2">
          <cell r="A2" t="str">
            <v>ORD_001337</v>
          </cell>
        </row>
        <row r="3">
          <cell r="A3" t="str">
            <v>ORD_004885</v>
          </cell>
        </row>
        <row r="4">
          <cell r="A4" t="str">
            <v>ORD_004507</v>
          </cell>
        </row>
        <row r="5">
          <cell r="A5" t="str">
            <v>ORD_000645</v>
          </cell>
        </row>
        <row r="6">
          <cell r="A6" t="str">
            <v>ORD_000514</v>
          </cell>
        </row>
        <row r="7">
          <cell r="A7" t="str">
            <v>ORD_003462</v>
          </cell>
        </row>
        <row r="8">
          <cell r="A8" t="str">
            <v>ORD_001418</v>
          </cell>
        </row>
        <row r="9">
          <cell r="A9" t="str">
            <v>ORD_000198</v>
          </cell>
        </row>
        <row r="10">
          <cell r="A10" t="str">
            <v>ORD_000374</v>
          </cell>
        </row>
        <row r="11">
          <cell r="A11" t="str">
            <v>ORD_003204</v>
          </cell>
        </row>
        <row r="12">
          <cell r="A12" t="str">
            <v>ORD_004204</v>
          </cell>
        </row>
        <row r="13">
          <cell r="A13" t="str">
            <v>ORD_000751</v>
          </cell>
        </row>
        <row r="14">
          <cell r="A14" t="str">
            <v>ORD_002466</v>
          </cell>
        </row>
        <row r="15">
          <cell r="A15" t="str">
            <v>ORD_003920</v>
          </cell>
        </row>
        <row r="16">
          <cell r="A16" t="str">
            <v>ORD_000038</v>
          </cell>
        </row>
        <row r="17">
          <cell r="A17" t="str">
            <v>ORD_003721</v>
          </cell>
        </row>
        <row r="18">
          <cell r="A18" t="str">
            <v>ORD_002069</v>
          </cell>
        </row>
        <row r="19">
          <cell r="A19" t="str">
            <v>ORD_002080</v>
          </cell>
        </row>
        <row r="20">
          <cell r="A20" t="str">
            <v>ORD_000285</v>
          </cell>
        </row>
        <row r="21">
          <cell r="A21" t="str">
            <v>ORD_000846</v>
          </cell>
        </row>
        <row r="22">
          <cell r="A22" t="str">
            <v>ORD_003744</v>
          </cell>
        </row>
        <row r="23">
          <cell r="A23" t="str">
            <v>ORD_003991</v>
          </cell>
        </row>
        <row r="24">
          <cell r="A24" t="str">
            <v>ORD_003301</v>
          </cell>
        </row>
        <row r="25">
          <cell r="A25" t="str">
            <v>ORD_004873</v>
          </cell>
        </row>
        <row r="26">
          <cell r="A26" t="str">
            <v>ORD_002003</v>
          </cell>
        </row>
        <row r="27">
          <cell r="A27" t="str">
            <v>ORD_003730</v>
          </cell>
        </row>
        <row r="28">
          <cell r="A28" t="str">
            <v>ORD_001602</v>
          </cell>
        </row>
        <row r="29">
          <cell r="A29" t="str">
            <v>ORD_000477</v>
          </cell>
        </row>
        <row r="30">
          <cell r="A30" t="str">
            <v>ORD_002957</v>
          </cell>
        </row>
        <row r="31">
          <cell r="A31" t="str">
            <v>ORD_001565</v>
          </cell>
        </row>
        <row r="32">
          <cell r="A32" t="str">
            <v>ORD_000527</v>
          </cell>
        </row>
        <row r="33">
          <cell r="A33" t="str">
            <v>ORD_004551</v>
          </cell>
        </row>
        <row r="34">
          <cell r="A34" t="str">
            <v>ORD_004850</v>
          </cell>
        </row>
        <row r="35">
          <cell r="A35" t="str">
            <v>ORD_000450</v>
          </cell>
        </row>
        <row r="36">
          <cell r="A36" t="str">
            <v>ORD_003803</v>
          </cell>
        </row>
        <row r="37">
          <cell r="A37" t="str">
            <v>ORD_004585</v>
          </cell>
        </row>
        <row r="38">
          <cell r="A38" t="str">
            <v>ORD_003246</v>
          </cell>
        </row>
        <row r="39">
          <cell r="A39" t="str">
            <v>ORD_004291</v>
          </cell>
        </row>
        <row r="40">
          <cell r="A40" t="str">
            <v>ORD_004550</v>
          </cell>
        </row>
        <row r="41">
          <cell r="A41" t="str">
            <v>ORD_004883</v>
          </cell>
        </row>
        <row r="42">
          <cell r="A42" t="str">
            <v>ORD_000182</v>
          </cell>
        </row>
        <row r="43">
          <cell r="A43" t="str">
            <v>ORD_004113</v>
          </cell>
        </row>
        <row r="44">
          <cell r="A44" t="str">
            <v>ORD_004744</v>
          </cell>
        </row>
        <row r="45">
          <cell r="A45" t="str">
            <v>ORD_001054</v>
          </cell>
        </row>
        <row r="46">
          <cell r="A46" t="str">
            <v>ORD_003313</v>
          </cell>
        </row>
        <row r="47">
          <cell r="A47" t="str">
            <v>ORD_003948</v>
          </cell>
        </row>
        <row r="48">
          <cell r="A48" t="str">
            <v>ORD_000991</v>
          </cell>
        </row>
        <row r="49">
          <cell r="A49" t="str">
            <v>ORD_004801</v>
          </cell>
        </row>
        <row r="50">
          <cell r="A50" t="str">
            <v>ORD_001144</v>
          </cell>
        </row>
        <row r="51">
          <cell r="A51" t="str">
            <v>ORD_004740</v>
          </cell>
        </row>
        <row r="52">
          <cell r="A52" t="str">
            <v>ORD_004656</v>
          </cell>
        </row>
        <row r="53">
          <cell r="A53" t="str">
            <v>ORD_003748</v>
          </cell>
        </row>
        <row r="54">
          <cell r="A54" t="str">
            <v>ORD_003622</v>
          </cell>
        </row>
        <row r="55">
          <cell r="A55" t="str">
            <v>ORD_001373</v>
          </cell>
        </row>
        <row r="56">
          <cell r="A56" t="str">
            <v>ORD_004676</v>
          </cell>
        </row>
        <row r="57">
          <cell r="A57" t="str">
            <v>ORD_001127</v>
          </cell>
        </row>
        <row r="58">
          <cell r="A58" t="str">
            <v>ORD_003274</v>
          </cell>
        </row>
        <row r="59">
          <cell r="A59" t="str">
            <v>ORD_001822</v>
          </cell>
        </row>
        <row r="60">
          <cell r="A60" t="str">
            <v>ORD_000359</v>
          </cell>
        </row>
        <row r="61">
          <cell r="A61" t="str">
            <v>ORD_001477</v>
          </cell>
        </row>
        <row r="62">
          <cell r="A62" t="str">
            <v>ORD_001690</v>
          </cell>
        </row>
        <row r="63">
          <cell r="A63" t="str">
            <v>ORD_003755</v>
          </cell>
        </row>
        <row r="64">
          <cell r="A64" t="str">
            <v>ORD_003743</v>
          </cell>
        </row>
        <row r="65">
          <cell r="A65" t="str">
            <v>ORD_004501</v>
          </cell>
        </row>
        <row r="66">
          <cell r="A66" t="str">
            <v>ORD_002535</v>
          </cell>
        </row>
        <row r="67">
          <cell r="A67" t="str">
            <v>ORD_003836</v>
          </cell>
        </row>
        <row r="68">
          <cell r="A68" t="str">
            <v>ORD_003039</v>
          </cell>
        </row>
        <row r="69">
          <cell r="A69" t="str">
            <v>ORD_002497</v>
          </cell>
        </row>
        <row r="70">
          <cell r="A70" t="str">
            <v>ORD_003749</v>
          </cell>
        </row>
        <row r="71">
          <cell r="A71" t="str">
            <v>ORD_004673</v>
          </cell>
        </row>
        <row r="72">
          <cell r="A72" t="str">
            <v>ORD_001072</v>
          </cell>
        </row>
        <row r="73">
          <cell r="A73" t="str">
            <v>ORD_003669</v>
          </cell>
        </row>
        <row r="74">
          <cell r="A74" t="str">
            <v>ORD_001829</v>
          </cell>
        </row>
        <row r="75">
          <cell r="A75" t="str">
            <v>ORD_003491</v>
          </cell>
        </row>
        <row r="76">
          <cell r="A76" t="str">
            <v>ORD_003083</v>
          </cell>
        </row>
        <row r="77">
          <cell r="A77" t="str">
            <v>ORD_000227</v>
          </cell>
        </row>
        <row r="78">
          <cell r="A78" t="str">
            <v>ORD_002321</v>
          </cell>
        </row>
        <row r="79">
          <cell r="A79" t="str">
            <v>ORD_002468</v>
          </cell>
        </row>
        <row r="80">
          <cell r="A80" t="str">
            <v>ORD_002102</v>
          </cell>
        </row>
        <row r="81">
          <cell r="A81" t="str">
            <v>ORD_000912</v>
          </cell>
        </row>
        <row r="82">
          <cell r="A82" t="str">
            <v>ORD_001284</v>
          </cell>
        </row>
        <row r="83">
          <cell r="A83" t="str">
            <v>ORD_000839</v>
          </cell>
        </row>
        <row r="84">
          <cell r="A84" t="str">
            <v>ORD_002117</v>
          </cell>
        </row>
        <row r="85">
          <cell r="A85" t="str">
            <v>ORD_002525</v>
          </cell>
        </row>
        <row r="86">
          <cell r="A86" t="str">
            <v>ORD_000279</v>
          </cell>
        </row>
        <row r="87">
          <cell r="A87" t="str">
            <v>ORD_001784</v>
          </cell>
        </row>
        <row r="88">
          <cell r="A88" t="str">
            <v>ORD_000928</v>
          </cell>
        </row>
        <row r="89">
          <cell r="A89" t="str">
            <v>ORD_001597</v>
          </cell>
        </row>
        <row r="90">
          <cell r="A90" t="str">
            <v>ORD_003464</v>
          </cell>
        </row>
        <row r="91">
          <cell r="A91" t="str">
            <v>ORD_004168</v>
          </cell>
        </row>
        <row r="92">
          <cell r="A92" t="str">
            <v>ORD_002937</v>
          </cell>
        </row>
        <row r="93">
          <cell r="A93" t="str">
            <v>ORD_003409</v>
          </cell>
        </row>
        <row r="94">
          <cell r="A94" t="str">
            <v>ORD_000729</v>
          </cell>
        </row>
        <row r="95">
          <cell r="A95" t="str">
            <v>ORD_004875</v>
          </cell>
        </row>
        <row r="96">
          <cell r="A96" t="str">
            <v>ORD_001709</v>
          </cell>
        </row>
        <row r="97">
          <cell r="A97" t="str">
            <v>ORD_004136</v>
          </cell>
        </row>
        <row r="98">
          <cell r="A98" t="str">
            <v>ORD_000568</v>
          </cell>
        </row>
        <row r="99">
          <cell r="A99" t="str">
            <v>ORD_000601</v>
          </cell>
        </row>
        <row r="100">
          <cell r="A100" t="str">
            <v>ORD_000003</v>
          </cell>
        </row>
        <row r="101">
          <cell r="A101" t="str">
            <v>ORD_000024</v>
          </cell>
        </row>
        <row r="102">
          <cell r="A102" t="str">
            <v>ORD_000955</v>
          </cell>
        </row>
        <row r="103">
          <cell r="A103" t="str">
            <v>ORD_004628</v>
          </cell>
        </row>
        <row r="104">
          <cell r="A104" t="str">
            <v>ORD_000880</v>
          </cell>
        </row>
        <row r="105">
          <cell r="A105" t="str">
            <v>ORD_001820</v>
          </cell>
        </row>
        <row r="106">
          <cell r="A106" t="str">
            <v>ORD_002701</v>
          </cell>
        </row>
        <row r="107">
          <cell r="A107" t="str">
            <v>ORD_001989</v>
          </cell>
        </row>
        <row r="108">
          <cell r="A108" t="str">
            <v>ORD_003052</v>
          </cell>
        </row>
        <row r="109">
          <cell r="A109" t="str">
            <v>ORD_004043</v>
          </cell>
        </row>
        <row r="110">
          <cell r="A110" t="str">
            <v>ORD_002433</v>
          </cell>
        </row>
        <row r="111">
          <cell r="A111" t="str">
            <v>ORD_002759</v>
          </cell>
        </row>
        <row r="112">
          <cell r="A112" t="str">
            <v>ORD_003937</v>
          </cell>
        </row>
        <row r="113">
          <cell r="A113" t="str">
            <v>ORD_001276</v>
          </cell>
        </row>
        <row r="114">
          <cell r="A114" t="str">
            <v>ORD_000885</v>
          </cell>
        </row>
        <row r="115">
          <cell r="A115" t="str">
            <v>ORD_000866</v>
          </cell>
        </row>
        <row r="116">
          <cell r="A116" t="str">
            <v>ORD_001995</v>
          </cell>
        </row>
        <row r="117">
          <cell r="A117" t="str">
            <v>ORD_001364</v>
          </cell>
        </row>
        <row r="118">
          <cell r="A118" t="str">
            <v>ORD_001529</v>
          </cell>
        </row>
        <row r="119">
          <cell r="A119" t="str">
            <v>ORD_001036</v>
          </cell>
        </row>
        <row r="120">
          <cell r="A120" t="str">
            <v>ORD_004196</v>
          </cell>
        </row>
        <row r="121">
          <cell r="A121" t="str">
            <v>ORD_000619</v>
          </cell>
        </row>
        <row r="122">
          <cell r="A122" t="str">
            <v>ORD_002849</v>
          </cell>
        </row>
        <row r="123">
          <cell r="A123" t="str">
            <v>ORD_002444</v>
          </cell>
        </row>
        <row r="124">
          <cell r="A124" t="str">
            <v>ORD_001860</v>
          </cell>
        </row>
        <row r="125">
          <cell r="A125" t="str">
            <v>ORD_002014</v>
          </cell>
        </row>
        <row r="126">
          <cell r="A126" t="str">
            <v>ORD_000924</v>
          </cell>
        </row>
        <row r="127">
          <cell r="A127" t="str">
            <v>ORD_000018</v>
          </cell>
        </row>
        <row r="128">
          <cell r="A128" t="str">
            <v>ORD_002863</v>
          </cell>
        </row>
        <row r="129">
          <cell r="A129" t="str">
            <v>ORD_004995</v>
          </cell>
        </row>
        <row r="130">
          <cell r="A130" t="str">
            <v>ORD_004312</v>
          </cell>
        </row>
        <row r="131">
          <cell r="A131" t="str">
            <v>ORD_003882</v>
          </cell>
        </row>
        <row r="132">
          <cell r="A132" t="str">
            <v>ORD_004764</v>
          </cell>
        </row>
        <row r="133">
          <cell r="A133" t="str">
            <v>ORD_002664</v>
          </cell>
        </row>
        <row r="134">
          <cell r="A134" t="str">
            <v>ORD_001755</v>
          </cell>
        </row>
        <row r="135">
          <cell r="A135" t="str">
            <v>ORD_003078</v>
          </cell>
        </row>
        <row r="136">
          <cell r="A136" t="str">
            <v>ORD_003427</v>
          </cell>
        </row>
        <row r="137">
          <cell r="A137" t="str">
            <v>ORD_004358</v>
          </cell>
        </row>
        <row r="138">
          <cell r="A138" t="str">
            <v>ORD_002681</v>
          </cell>
        </row>
        <row r="139">
          <cell r="A139" t="str">
            <v>ORD_001218</v>
          </cell>
        </row>
        <row r="140">
          <cell r="A140" t="str">
            <v>ORD_003794</v>
          </cell>
        </row>
        <row r="141">
          <cell r="A141" t="str">
            <v>ORD_003485</v>
          </cell>
        </row>
        <row r="142">
          <cell r="A142" t="str">
            <v>ORD_003832</v>
          </cell>
        </row>
        <row r="143">
          <cell r="A143" t="str">
            <v>ORD_004317</v>
          </cell>
        </row>
        <row r="144">
          <cell r="A144" t="str">
            <v>ORD_000292</v>
          </cell>
        </row>
        <row r="145">
          <cell r="A145" t="str">
            <v>ORD_000126</v>
          </cell>
        </row>
        <row r="146">
          <cell r="A146" t="str">
            <v>ORD_000017</v>
          </cell>
        </row>
        <row r="147">
          <cell r="A147" t="str">
            <v>ORD_003713</v>
          </cell>
        </row>
        <row r="148">
          <cell r="A148" t="str">
            <v>ORD_002671</v>
          </cell>
        </row>
        <row r="149">
          <cell r="A149" t="str">
            <v>ORD_001641</v>
          </cell>
        </row>
        <row r="150">
          <cell r="A150" t="str">
            <v>ORD_003497</v>
          </cell>
        </row>
        <row r="151">
          <cell r="A151" t="str">
            <v>ORD_003235</v>
          </cell>
        </row>
        <row r="152">
          <cell r="A152" t="str">
            <v>ORD_001508</v>
          </cell>
        </row>
        <row r="153">
          <cell r="A153" t="str">
            <v>ORD_002572</v>
          </cell>
        </row>
        <row r="154">
          <cell r="A154" t="str">
            <v>ORD_001325</v>
          </cell>
        </row>
        <row r="155">
          <cell r="A155" t="str">
            <v>ORD_000533</v>
          </cell>
        </row>
        <row r="156">
          <cell r="A156" t="str">
            <v>ORD_001464</v>
          </cell>
        </row>
        <row r="157">
          <cell r="A157" t="str">
            <v>ORD_004810</v>
          </cell>
        </row>
        <row r="158">
          <cell r="A158" t="str">
            <v>ORD_002587</v>
          </cell>
        </row>
        <row r="159">
          <cell r="A159" t="str">
            <v>ORD_004084</v>
          </cell>
        </row>
        <row r="160">
          <cell r="A160" t="str">
            <v>ORD_001727</v>
          </cell>
        </row>
        <row r="161">
          <cell r="A161" t="str">
            <v>ORD_002344</v>
          </cell>
        </row>
        <row r="162">
          <cell r="A162" t="str">
            <v>ORD_003230</v>
          </cell>
        </row>
        <row r="163">
          <cell r="A163" t="str">
            <v>ORD_000626</v>
          </cell>
        </row>
        <row r="164">
          <cell r="A164" t="str">
            <v>ORD_002454</v>
          </cell>
        </row>
        <row r="165">
          <cell r="A165" t="str">
            <v>ORD_003245</v>
          </cell>
        </row>
        <row r="166">
          <cell r="A166" t="str">
            <v>ORD_002208</v>
          </cell>
        </row>
        <row r="167">
          <cell r="A167" t="str">
            <v>ORD_000587</v>
          </cell>
        </row>
        <row r="168">
          <cell r="A168" t="str">
            <v>ORD_003006</v>
          </cell>
        </row>
        <row r="169">
          <cell r="A169" t="str">
            <v>ORD_001290</v>
          </cell>
        </row>
        <row r="170">
          <cell r="A170" t="str">
            <v>ORD_001270</v>
          </cell>
        </row>
        <row r="171">
          <cell r="A171" t="str">
            <v>ORD_000546</v>
          </cell>
        </row>
        <row r="172">
          <cell r="A172" t="str">
            <v>ORD_002249</v>
          </cell>
        </row>
        <row r="173">
          <cell r="A173" t="str">
            <v>ORD_004977</v>
          </cell>
        </row>
        <row r="174">
          <cell r="A174" t="str">
            <v>ORD_004679</v>
          </cell>
        </row>
        <row r="175">
          <cell r="A175" t="str">
            <v>ORD_003606</v>
          </cell>
        </row>
        <row r="176">
          <cell r="A176" t="str">
            <v>ORD_000922</v>
          </cell>
        </row>
        <row r="177">
          <cell r="A177" t="str">
            <v>ORD_001637</v>
          </cell>
        </row>
        <row r="178">
          <cell r="A178" t="str">
            <v>ORD_003004</v>
          </cell>
        </row>
        <row r="179">
          <cell r="A179" t="str">
            <v>ORD_000425</v>
          </cell>
        </row>
        <row r="180">
          <cell r="A180" t="str">
            <v>ORD_002227</v>
          </cell>
        </row>
        <row r="181">
          <cell r="A181" t="str">
            <v>ORD_003817</v>
          </cell>
        </row>
        <row r="182">
          <cell r="A182" t="str">
            <v>ORD_004343</v>
          </cell>
        </row>
        <row r="183">
          <cell r="A183" t="str">
            <v>ORD_000981</v>
          </cell>
        </row>
        <row r="184">
          <cell r="A184" t="str">
            <v>ORD_002100</v>
          </cell>
        </row>
        <row r="185">
          <cell r="A185" t="str">
            <v>ORD_003163</v>
          </cell>
        </row>
        <row r="186">
          <cell r="A186" t="str">
            <v>ORD_002578</v>
          </cell>
        </row>
        <row r="187">
          <cell r="A187" t="str">
            <v>ORD_000541</v>
          </cell>
        </row>
        <row r="188">
          <cell r="A188" t="str">
            <v>ORD_002644</v>
          </cell>
        </row>
        <row r="189">
          <cell r="A189" t="str">
            <v>ORD_002846</v>
          </cell>
        </row>
        <row r="190">
          <cell r="A190" t="str">
            <v>ORD_004904</v>
          </cell>
        </row>
        <row r="191">
          <cell r="A191" t="str">
            <v>ORD_000513</v>
          </cell>
        </row>
        <row r="192">
          <cell r="A192" t="str">
            <v>ORD_004102</v>
          </cell>
        </row>
        <row r="193">
          <cell r="A193" t="str">
            <v>ORD_002575</v>
          </cell>
        </row>
        <row r="194">
          <cell r="A194" t="str">
            <v>ORD_000060</v>
          </cell>
        </row>
        <row r="195">
          <cell r="A195" t="str">
            <v>ORD_000642</v>
          </cell>
        </row>
        <row r="196">
          <cell r="A196" t="str">
            <v>ORD_004164</v>
          </cell>
        </row>
        <row r="197">
          <cell r="A197" t="str">
            <v>ORD_004798</v>
          </cell>
        </row>
        <row r="198">
          <cell r="A198" t="str">
            <v>ORD_001450</v>
          </cell>
        </row>
        <row r="199">
          <cell r="A199" t="str">
            <v>ORD_003506</v>
          </cell>
        </row>
        <row r="200">
          <cell r="A200" t="str">
            <v>ORD_001851</v>
          </cell>
        </row>
        <row r="201">
          <cell r="A201" t="str">
            <v>ORD_002551</v>
          </cell>
        </row>
        <row r="202">
          <cell r="A202" t="str">
            <v>ORD_002364</v>
          </cell>
        </row>
        <row r="203">
          <cell r="A203" t="str">
            <v>ORD_002529</v>
          </cell>
        </row>
        <row r="204">
          <cell r="A204" t="str">
            <v>ORD_001530</v>
          </cell>
        </row>
        <row r="205">
          <cell r="A205" t="str">
            <v>ORD_003663</v>
          </cell>
        </row>
        <row r="206">
          <cell r="A206" t="str">
            <v>ORD_002968</v>
          </cell>
        </row>
        <row r="207">
          <cell r="A207" t="str">
            <v>ORD_002851</v>
          </cell>
        </row>
        <row r="208">
          <cell r="A208" t="str">
            <v>ORD_002064</v>
          </cell>
        </row>
        <row r="209">
          <cell r="A209" t="str">
            <v>ORD_000730</v>
          </cell>
        </row>
        <row r="210">
          <cell r="A210" t="str">
            <v>ORD_001132</v>
          </cell>
        </row>
        <row r="211">
          <cell r="A211" t="str">
            <v>ORD_004803</v>
          </cell>
        </row>
        <row r="212">
          <cell r="A212" t="str">
            <v>ORD_003418</v>
          </cell>
        </row>
        <row r="213">
          <cell r="A213" t="str">
            <v>ORD_004495</v>
          </cell>
        </row>
        <row r="214">
          <cell r="A214" t="str">
            <v>ORD_003005</v>
          </cell>
        </row>
        <row r="215">
          <cell r="A215" t="str">
            <v>ORD_001726</v>
          </cell>
        </row>
        <row r="216">
          <cell r="A216" t="str">
            <v>ORD_000078</v>
          </cell>
        </row>
        <row r="217">
          <cell r="A217" t="str">
            <v>ORD_003825</v>
          </cell>
        </row>
        <row r="218">
          <cell r="A218" t="str">
            <v>ORD_004836</v>
          </cell>
        </row>
        <row r="219">
          <cell r="A219" t="str">
            <v>ORD_003719</v>
          </cell>
        </row>
        <row r="220">
          <cell r="A220" t="str">
            <v>ORD_002595</v>
          </cell>
        </row>
        <row r="221">
          <cell r="A221" t="str">
            <v>ORD_003551</v>
          </cell>
        </row>
        <row r="222">
          <cell r="A222" t="str">
            <v>ORD_000163</v>
          </cell>
        </row>
        <row r="223">
          <cell r="A223" t="str">
            <v>ORD_003503</v>
          </cell>
        </row>
        <row r="224">
          <cell r="A224" t="str">
            <v>ORD_004494</v>
          </cell>
        </row>
        <row r="225">
          <cell r="A225" t="str">
            <v>ORD_002484</v>
          </cell>
        </row>
        <row r="226">
          <cell r="A226" t="str">
            <v>ORD_002946</v>
          </cell>
        </row>
        <row r="227">
          <cell r="A227" t="str">
            <v>ORD_002947</v>
          </cell>
        </row>
        <row r="228">
          <cell r="A228" t="str">
            <v>ORD_001785</v>
          </cell>
        </row>
        <row r="229">
          <cell r="A229" t="str">
            <v>ORD_001608</v>
          </cell>
        </row>
        <row r="230">
          <cell r="A230" t="str">
            <v>ORD_003188</v>
          </cell>
        </row>
        <row r="231">
          <cell r="A231" t="str">
            <v>ORD_000764</v>
          </cell>
        </row>
        <row r="232">
          <cell r="A232" t="str">
            <v>ORD_004989</v>
          </cell>
        </row>
        <row r="233">
          <cell r="A233" t="str">
            <v>ORD_002037</v>
          </cell>
        </row>
        <row r="234">
          <cell r="A234" t="str">
            <v>ORD_000401</v>
          </cell>
        </row>
        <row r="235">
          <cell r="A235" t="str">
            <v>ORD_000355</v>
          </cell>
        </row>
        <row r="236">
          <cell r="A236" t="str">
            <v>ORD_000893</v>
          </cell>
        </row>
        <row r="237">
          <cell r="A237" t="str">
            <v>ORD_002913</v>
          </cell>
        </row>
        <row r="238">
          <cell r="A238" t="str">
            <v>ORD_001353</v>
          </cell>
        </row>
        <row r="239">
          <cell r="A239" t="str">
            <v>ORD_004831</v>
          </cell>
        </row>
        <row r="240">
          <cell r="A240" t="str">
            <v>ORD_001152</v>
          </cell>
        </row>
        <row r="241">
          <cell r="A241" t="str">
            <v>ORD_000915</v>
          </cell>
        </row>
        <row r="242">
          <cell r="A242" t="str">
            <v>ORD_003600</v>
          </cell>
        </row>
        <row r="243">
          <cell r="A243" t="str">
            <v>ORD_001832</v>
          </cell>
        </row>
        <row r="244">
          <cell r="A244" t="str">
            <v>ORD_001954</v>
          </cell>
        </row>
        <row r="245">
          <cell r="A245" t="str">
            <v>ORD_004527</v>
          </cell>
        </row>
        <row r="246">
          <cell r="A246" t="str">
            <v>ORD_000507</v>
          </cell>
        </row>
        <row r="247">
          <cell r="A247" t="str">
            <v>ORD_003194</v>
          </cell>
        </row>
        <row r="248">
          <cell r="A248" t="str">
            <v>ORD_002970</v>
          </cell>
        </row>
        <row r="249">
          <cell r="A249" t="str">
            <v>ORD_002267</v>
          </cell>
        </row>
        <row r="250">
          <cell r="A250" t="str">
            <v>ORD_002032</v>
          </cell>
        </row>
        <row r="251">
          <cell r="A251" t="str">
            <v>ORD_002406</v>
          </cell>
        </row>
        <row r="252">
          <cell r="A252" t="str">
            <v>ORD_003063</v>
          </cell>
        </row>
        <row r="253">
          <cell r="A253" t="str">
            <v>ORD_002435</v>
          </cell>
        </row>
        <row r="254">
          <cell r="A254" t="str">
            <v>ORD_001133</v>
          </cell>
        </row>
        <row r="255">
          <cell r="A255" t="str">
            <v>ORD_001343</v>
          </cell>
        </row>
        <row r="256">
          <cell r="A256" t="str">
            <v>ORD_000324</v>
          </cell>
        </row>
        <row r="257">
          <cell r="A257" t="str">
            <v>ORD_004288</v>
          </cell>
        </row>
        <row r="258">
          <cell r="A258" t="str">
            <v>ORD_001165</v>
          </cell>
        </row>
        <row r="259">
          <cell r="A259" t="str">
            <v>ORD_004643</v>
          </cell>
        </row>
        <row r="260">
          <cell r="A260" t="str">
            <v>ORD_003868</v>
          </cell>
        </row>
        <row r="261">
          <cell r="A261" t="str">
            <v>ORD_000123</v>
          </cell>
        </row>
        <row r="262">
          <cell r="A262" t="str">
            <v>ORD_004732</v>
          </cell>
        </row>
        <row r="263">
          <cell r="A263" t="str">
            <v>ORD_002805</v>
          </cell>
        </row>
        <row r="264">
          <cell r="A264" t="str">
            <v>ORD_003515</v>
          </cell>
        </row>
        <row r="265">
          <cell r="A265" t="str">
            <v>ORD_002201</v>
          </cell>
        </row>
        <row r="266">
          <cell r="A266" t="str">
            <v>ORD_002068</v>
          </cell>
        </row>
        <row r="267">
          <cell r="A267" t="str">
            <v>ORD_003395</v>
          </cell>
        </row>
        <row r="268">
          <cell r="A268" t="str">
            <v>ORD_004780</v>
          </cell>
        </row>
        <row r="269">
          <cell r="A269" t="str">
            <v>ORD_003801</v>
          </cell>
        </row>
        <row r="270">
          <cell r="A270" t="str">
            <v>ORD_001533</v>
          </cell>
        </row>
        <row r="271">
          <cell r="A271" t="str">
            <v>ORD_000393</v>
          </cell>
        </row>
        <row r="272">
          <cell r="A272" t="str">
            <v>ORD_002209</v>
          </cell>
        </row>
        <row r="273">
          <cell r="A273" t="str">
            <v>ORD_000235</v>
          </cell>
        </row>
        <row r="274">
          <cell r="A274" t="str">
            <v>ORD_003402</v>
          </cell>
        </row>
        <row r="275">
          <cell r="A275" t="str">
            <v>ORD_002653</v>
          </cell>
        </row>
        <row r="276">
          <cell r="A276" t="str">
            <v>ORD_000408</v>
          </cell>
        </row>
        <row r="277">
          <cell r="A277" t="str">
            <v>ORD_003578</v>
          </cell>
        </row>
        <row r="278">
          <cell r="A278" t="str">
            <v>ORD_004724</v>
          </cell>
        </row>
        <row r="279">
          <cell r="A279" t="str">
            <v>ORD_000400</v>
          </cell>
        </row>
        <row r="280">
          <cell r="A280" t="str">
            <v>ORD_003424</v>
          </cell>
        </row>
        <row r="281">
          <cell r="A281" t="str">
            <v>ORD_003711</v>
          </cell>
        </row>
        <row r="282">
          <cell r="A282" t="str">
            <v>ORD_004413</v>
          </cell>
        </row>
        <row r="283">
          <cell r="A283" t="str">
            <v>ORD_003220</v>
          </cell>
        </row>
        <row r="284">
          <cell r="A284" t="str">
            <v>ORD_004390</v>
          </cell>
        </row>
        <row r="285">
          <cell r="A285" t="str">
            <v>ORD_004899</v>
          </cell>
        </row>
        <row r="286">
          <cell r="A286" t="str">
            <v>ORD_000289</v>
          </cell>
        </row>
        <row r="287">
          <cell r="A287" t="str">
            <v>ORD_004680</v>
          </cell>
        </row>
        <row r="288">
          <cell r="A288" t="str">
            <v>ORD_002880</v>
          </cell>
        </row>
        <row r="289">
          <cell r="A289" t="str">
            <v>ORD_003735</v>
          </cell>
        </row>
        <row r="290">
          <cell r="A290" t="str">
            <v>ORD_001939</v>
          </cell>
        </row>
        <row r="291">
          <cell r="A291" t="str">
            <v>ORD_001194</v>
          </cell>
        </row>
        <row r="292">
          <cell r="A292" t="str">
            <v>ORD_001247</v>
          </cell>
        </row>
        <row r="293">
          <cell r="A293" t="str">
            <v>ORD_000371</v>
          </cell>
        </row>
        <row r="294">
          <cell r="A294" t="str">
            <v>ORD_000397</v>
          </cell>
        </row>
        <row r="295">
          <cell r="A295" t="str">
            <v>ORD_003372</v>
          </cell>
        </row>
        <row r="296">
          <cell r="A296" t="str">
            <v>ORD_002238</v>
          </cell>
        </row>
        <row r="297">
          <cell r="A297" t="str">
            <v>ORD_003540</v>
          </cell>
        </row>
        <row r="298">
          <cell r="A298" t="str">
            <v>ORD_004924</v>
          </cell>
        </row>
        <row r="299">
          <cell r="A299" t="str">
            <v>ORD_001861</v>
          </cell>
        </row>
        <row r="300">
          <cell r="A300" t="str">
            <v>ORD_003319</v>
          </cell>
        </row>
        <row r="301">
          <cell r="A301" t="str">
            <v>ORD_000329</v>
          </cell>
        </row>
        <row r="302">
          <cell r="A302" t="str">
            <v>ORD_001770</v>
          </cell>
        </row>
        <row r="303">
          <cell r="A303" t="str">
            <v>ORD_000831</v>
          </cell>
        </row>
        <row r="304">
          <cell r="A304" t="str">
            <v>ORD_003100</v>
          </cell>
        </row>
        <row r="305">
          <cell r="A305" t="str">
            <v>ORD_003969</v>
          </cell>
        </row>
        <row r="306">
          <cell r="A306" t="str">
            <v>ORD_004213</v>
          </cell>
        </row>
        <row r="307">
          <cell r="A307" t="str">
            <v>ORD_000824</v>
          </cell>
        </row>
        <row r="308">
          <cell r="A308" t="str">
            <v>ORD_000173</v>
          </cell>
        </row>
        <row r="309">
          <cell r="A309" t="str">
            <v>ORD_001839</v>
          </cell>
        </row>
        <row r="310">
          <cell r="A310" t="str">
            <v>ORD_002568</v>
          </cell>
        </row>
        <row r="311">
          <cell r="A311" t="str">
            <v>ORD_002491</v>
          </cell>
        </row>
        <row r="312">
          <cell r="A312" t="str">
            <v>ORD_004470</v>
          </cell>
        </row>
        <row r="313">
          <cell r="A313" t="str">
            <v>ORD_003422</v>
          </cell>
        </row>
        <row r="314">
          <cell r="A314" t="str">
            <v>ORD_001716</v>
          </cell>
        </row>
        <row r="315">
          <cell r="A315" t="str">
            <v>ORD_004770</v>
          </cell>
        </row>
        <row r="316">
          <cell r="A316" t="str">
            <v>ORD_000277</v>
          </cell>
        </row>
        <row r="317">
          <cell r="A317" t="str">
            <v>ORD_002736</v>
          </cell>
        </row>
        <row r="318">
          <cell r="A318" t="str">
            <v>ORD_001876</v>
          </cell>
        </row>
        <row r="319">
          <cell r="A319" t="str">
            <v>ORD_002272</v>
          </cell>
        </row>
        <row r="320">
          <cell r="A320" t="str">
            <v>ORD_001158</v>
          </cell>
        </row>
        <row r="321">
          <cell r="A321" t="str">
            <v>ORD_004717</v>
          </cell>
        </row>
        <row r="322">
          <cell r="A322" t="str">
            <v>ORD_002770</v>
          </cell>
        </row>
        <row r="323">
          <cell r="A323" t="str">
            <v>ORD_000131</v>
          </cell>
        </row>
        <row r="324">
          <cell r="A324" t="str">
            <v>ORD_003494</v>
          </cell>
        </row>
        <row r="325">
          <cell r="A325" t="str">
            <v>ORD_004675</v>
          </cell>
        </row>
        <row r="326">
          <cell r="A326" t="str">
            <v>ORD_000415</v>
          </cell>
        </row>
        <row r="327">
          <cell r="A327" t="str">
            <v>ORD_004162</v>
          </cell>
        </row>
        <row r="328">
          <cell r="A328" t="str">
            <v>ORD_002538</v>
          </cell>
        </row>
        <row r="329">
          <cell r="A329" t="str">
            <v>ORD_001926</v>
          </cell>
        </row>
        <row r="330">
          <cell r="A330" t="str">
            <v>ORD_002673</v>
          </cell>
        </row>
        <row r="331">
          <cell r="A331" t="str">
            <v>ORD_002518</v>
          </cell>
        </row>
        <row r="332">
          <cell r="A332" t="str">
            <v>ORD_002193</v>
          </cell>
        </row>
        <row r="333">
          <cell r="A333" t="str">
            <v>ORD_000291</v>
          </cell>
        </row>
        <row r="334">
          <cell r="A334" t="str">
            <v>ORD_003727</v>
          </cell>
        </row>
        <row r="335">
          <cell r="A335" t="str">
            <v>ORD_000462</v>
          </cell>
        </row>
        <row r="336">
          <cell r="A336" t="str">
            <v>ORD_000077</v>
          </cell>
        </row>
        <row r="337">
          <cell r="A337" t="str">
            <v>ORD_004053</v>
          </cell>
        </row>
        <row r="338">
          <cell r="A338" t="str">
            <v>ORD_000244</v>
          </cell>
        </row>
        <row r="339">
          <cell r="A339" t="str">
            <v>ORD_000987</v>
          </cell>
        </row>
        <row r="340">
          <cell r="A340" t="str">
            <v>ORD_000608</v>
          </cell>
        </row>
        <row r="341">
          <cell r="A341" t="str">
            <v>ORD_003425</v>
          </cell>
        </row>
        <row r="342">
          <cell r="A342" t="str">
            <v>ORD_000919</v>
          </cell>
        </row>
        <row r="343">
          <cell r="A343" t="str">
            <v>ORD_002010</v>
          </cell>
        </row>
        <row r="344">
          <cell r="A344" t="str">
            <v>ORD_000413</v>
          </cell>
        </row>
        <row r="345">
          <cell r="A345" t="str">
            <v>ORD_004582</v>
          </cell>
        </row>
        <row r="346">
          <cell r="A346" t="str">
            <v>ORD_001407</v>
          </cell>
        </row>
        <row r="347">
          <cell r="A347" t="str">
            <v>ORD_001510</v>
          </cell>
        </row>
        <row r="348">
          <cell r="A348" t="str">
            <v>ORD_000657</v>
          </cell>
        </row>
        <row r="349">
          <cell r="A349" t="str">
            <v>ORD_001793</v>
          </cell>
        </row>
        <row r="350">
          <cell r="A350" t="str">
            <v>ORD_004838</v>
          </cell>
        </row>
        <row r="351">
          <cell r="A351" t="str">
            <v>ORD_000295</v>
          </cell>
        </row>
        <row r="352">
          <cell r="A352" t="str">
            <v>ORD_000103</v>
          </cell>
        </row>
        <row r="353">
          <cell r="A353" t="str">
            <v>ORD_004561</v>
          </cell>
        </row>
        <row r="354">
          <cell r="A354" t="str">
            <v>ORD_000286</v>
          </cell>
        </row>
        <row r="355">
          <cell r="A355" t="str">
            <v>ORD_001246</v>
          </cell>
        </row>
        <row r="356">
          <cell r="A356" t="str">
            <v>ORD_002096</v>
          </cell>
        </row>
        <row r="357">
          <cell r="A357" t="str">
            <v>ORD_004654</v>
          </cell>
        </row>
        <row r="358">
          <cell r="A358" t="str">
            <v>ORD_001226</v>
          </cell>
        </row>
        <row r="359">
          <cell r="A359" t="str">
            <v>ORD_002977</v>
          </cell>
        </row>
        <row r="360">
          <cell r="A360" t="str">
            <v>ORD_000449</v>
          </cell>
        </row>
        <row r="361">
          <cell r="A361" t="str">
            <v>ORD_004672</v>
          </cell>
        </row>
        <row r="362">
          <cell r="A362" t="str">
            <v>ORD_003608</v>
          </cell>
        </row>
        <row r="363">
          <cell r="A363" t="str">
            <v>ORD_002786</v>
          </cell>
        </row>
        <row r="364">
          <cell r="A364" t="str">
            <v>ORD_003417</v>
          </cell>
        </row>
        <row r="365">
          <cell r="A365" t="str">
            <v>ORD_003905</v>
          </cell>
        </row>
        <row r="366">
          <cell r="A366" t="str">
            <v>ORD_002782</v>
          </cell>
        </row>
        <row r="367">
          <cell r="A367" t="str">
            <v>ORD_001161</v>
          </cell>
        </row>
        <row r="368">
          <cell r="A368" t="str">
            <v>ORD_001572</v>
          </cell>
        </row>
        <row r="369">
          <cell r="A369" t="str">
            <v>ORD_002878</v>
          </cell>
        </row>
        <row r="370">
          <cell r="A370" t="str">
            <v>ORD_002723</v>
          </cell>
        </row>
        <row r="371">
          <cell r="A371" t="str">
            <v>ORD_004072</v>
          </cell>
        </row>
        <row r="372">
          <cell r="A372" t="str">
            <v>ORD_000736</v>
          </cell>
        </row>
        <row r="373">
          <cell r="A373" t="str">
            <v>ORD_000455</v>
          </cell>
        </row>
        <row r="374">
          <cell r="A374" t="str">
            <v>ORD_001871</v>
          </cell>
        </row>
        <row r="375">
          <cell r="A375" t="str">
            <v>ORD_002204</v>
          </cell>
        </row>
        <row r="376">
          <cell r="A376" t="str">
            <v>ORD_004943</v>
          </cell>
        </row>
        <row r="377">
          <cell r="A377" t="str">
            <v>ORD_001674</v>
          </cell>
        </row>
        <row r="378">
          <cell r="A378" t="str">
            <v>ORD_001209</v>
          </cell>
        </row>
        <row r="379">
          <cell r="A379" t="str">
            <v>ORD_004440</v>
          </cell>
        </row>
        <row r="380">
          <cell r="A380" t="str">
            <v>ORD_003873</v>
          </cell>
        </row>
        <row r="381">
          <cell r="A381" t="str">
            <v>ORD_000963</v>
          </cell>
        </row>
        <row r="382">
          <cell r="A382" t="str">
            <v>ORD_002171</v>
          </cell>
        </row>
        <row r="383">
          <cell r="A383" t="str">
            <v>ORD_000348</v>
          </cell>
        </row>
        <row r="384">
          <cell r="A384" t="str">
            <v>ORD_000529</v>
          </cell>
        </row>
        <row r="385">
          <cell r="A385" t="str">
            <v>ORD_002654</v>
          </cell>
        </row>
        <row r="386">
          <cell r="A386" t="str">
            <v>ORD_001484</v>
          </cell>
        </row>
        <row r="387">
          <cell r="A387" t="str">
            <v>ORD_003826</v>
          </cell>
        </row>
        <row r="388">
          <cell r="A388" t="str">
            <v>ORD_003716</v>
          </cell>
        </row>
        <row r="389">
          <cell r="A389" t="str">
            <v>ORD_004921</v>
          </cell>
        </row>
        <row r="390">
          <cell r="A390" t="str">
            <v>ORD_003977</v>
          </cell>
        </row>
        <row r="391">
          <cell r="A391" t="str">
            <v>ORD_002145</v>
          </cell>
        </row>
        <row r="392">
          <cell r="A392" t="str">
            <v>ORD_004775</v>
          </cell>
        </row>
        <row r="393">
          <cell r="A393" t="str">
            <v>ORD_002213</v>
          </cell>
        </row>
        <row r="394">
          <cell r="A394" t="str">
            <v>ORD_003845</v>
          </cell>
        </row>
        <row r="395">
          <cell r="A395" t="str">
            <v>ORD_002104</v>
          </cell>
        </row>
        <row r="396">
          <cell r="A396" t="str">
            <v>ORD_002333</v>
          </cell>
        </row>
        <row r="397">
          <cell r="A397" t="str">
            <v>ORD_002690</v>
          </cell>
        </row>
        <row r="398">
          <cell r="A398" t="str">
            <v>ORD_000807</v>
          </cell>
        </row>
        <row r="399">
          <cell r="A399" t="str">
            <v>ORD_003369</v>
          </cell>
        </row>
        <row r="400">
          <cell r="A400" t="str">
            <v>ORD_004543</v>
          </cell>
        </row>
        <row r="401">
          <cell r="A401" t="str">
            <v>ORD_004825</v>
          </cell>
        </row>
        <row r="402">
          <cell r="A402" t="str">
            <v>ORD_001548</v>
          </cell>
        </row>
        <row r="403">
          <cell r="A403" t="str">
            <v>ORD_003777</v>
          </cell>
        </row>
        <row r="404">
          <cell r="A404" t="str">
            <v>ORD_002621</v>
          </cell>
        </row>
        <row r="405">
          <cell r="A405" t="str">
            <v>ORD_000083</v>
          </cell>
        </row>
        <row r="406">
          <cell r="A406" t="str">
            <v>ORD_003166</v>
          </cell>
        </row>
        <row r="407">
          <cell r="A407" t="str">
            <v>ORD_002820</v>
          </cell>
        </row>
        <row r="408">
          <cell r="A408" t="str">
            <v>ORD_003864</v>
          </cell>
        </row>
        <row r="409">
          <cell r="A409" t="str">
            <v>ORD_000066</v>
          </cell>
        </row>
        <row r="410">
          <cell r="A410" t="str">
            <v>ORD_000239</v>
          </cell>
        </row>
        <row r="411">
          <cell r="A411" t="str">
            <v>ORD_003591</v>
          </cell>
        </row>
        <row r="412">
          <cell r="A412" t="str">
            <v>ORD_002467</v>
          </cell>
        </row>
        <row r="413">
          <cell r="A413" t="str">
            <v>ORD_002630</v>
          </cell>
        </row>
        <row r="414">
          <cell r="A414" t="str">
            <v>ORD_004702</v>
          </cell>
        </row>
        <row r="415">
          <cell r="A415" t="str">
            <v>ORD_002135</v>
          </cell>
        </row>
        <row r="416">
          <cell r="A416" t="str">
            <v>ORD_002441</v>
          </cell>
        </row>
        <row r="417">
          <cell r="A417" t="str">
            <v>ORD_001204</v>
          </cell>
        </row>
        <row r="418">
          <cell r="A418" t="str">
            <v>ORD_002039</v>
          </cell>
        </row>
        <row r="419">
          <cell r="A419" t="str">
            <v>ORD_003444</v>
          </cell>
        </row>
        <row r="420">
          <cell r="A420" t="str">
            <v>ORD_002850</v>
          </cell>
        </row>
        <row r="421">
          <cell r="A421" t="str">
            <v>ORD_001493</v>
          </cell>
        </row>
        <row r="422">
          <cell r="A422" t="str">
            <v>ORD_002287</v>
          </cell>
        </row>
        <row r="423">
          <cell r="A423" t="str">
            <v>ORD_001268</v>
          </cell>
        </row>
        <row r="424">
          <cell r="A424" t="str">
            <v>ORD_003363</v>
          </cell>
        </row>
        <row r="425">
          <cell r="A425" t="str">
            <v>ORD_001872</v>
          </cell>
        </row>
        <row r="426">
          <cell r="A426" t="str">
            <v>ORD_000410</v>
          </cell>
        </row>
        <row r="427">
          <cell r="A427" t="str">
            <v>ORD_000815</v>
          </cell>
        </row>
        <row r="428">
          <cell r="A428" t="str">
            <v>ORD_000427</v>
          </cell>
        </row>
        <row r="429">
          <cell r="A429" t="str">
            <v>ORD_000910</v>
          </cell>
        </row>
        <row r="430">
          <cell r="A430" t="str">
            <v>ORD_003789</v>
          </cell>
        </row>
        <row r="431">
          <cell r="A431" t="str">
            <v>ORD_004700</v>
          </cell>
        </row>
        <row r="432">
          <cell r="A432" t="str">
            <v>ORD_004693</v>
          </cell>
        </row>
        <row r="433">
          <cell r="A433" t="str">
            <v>ORD_003806</v>
          </cell>
        </row>
        <row r="434">
          <cell r="A434" t="str">
            <v>ORD_004310</v>
          </cell>
        </row>
        <row r="435">
          <cell r="A435" t="str">
            <v>ORD_003906</v>
          </cell>
        </row>
        <row r="436">
          <cell r="A436" t="str">
            <v>ORD_002618</v>
          </cell>
        </row>
        <row r="437">
          <cell r="A437" t="str">
            <v>ORD_002419</v>
          </cell>
        </row>
        <row r="438">
          <cell r="A438" t="str">
            <v>ORD_000886</v>
          </cell>
        </row>
        <row r="439">
          <cell r="A439" t="str">
            <v>ORD_004522</v>
          </cell>
        </row>
        <row r="440">
          <cell r="A440" t="str">
            <v>ORD_003898</v>
          </cell>
        </row>
        <row r="441">
          <cell r="A441" t="str">
            <v>ORD_004251</v>
          </cell>
        </row>
        <row r="442">
          <cell r="A442" t="str">
            <v>ORD_001057</v>
          </cell>
        </row>
        <row r="443">
          <cell r="A443" t="str">
            <v>ORD_004618</v>
          </cell>
        </row>
        <row r="444">
          <cell r="A444" t="str">
            <v>ORD_002031</v>
          </cell>
        </row>
        <row r="445">
          <cell r="A445" t="str">
            <v>ORD_000712</v>
          </cell>
        </row>
        <row r="446">
          <cell r="A446" t="str">
            <v>ORD_001171</v>
          </cell>
        </row>
        <row r="447">
          <cell r="A447" t="str">
            <v>ORD_003953</v>
          </cell>
        </row>
        <row r="448">
          <cell r="A448" t="str">
            <v>ORD_001929</v>
          </cell>
        </row>
        <row r="449">
          <cell r="A449" t="str">
            <v>ORD_002300</v>
          </cell>
        </row>
        <row r="450">
          <cell r="A450" t="str">
            <v>ORD_002245</v>
          </cell>
        </row>
        <row r="451">
          <cell r="A451" t="str">
            <v>ORD_000240</v>
          </cell>
        </row>
        <row r="452">
          <cell r="A452" t="str">
            <v>ORD_004141</v>
          </cell>
        </row>
        <row r="453">
          <cell r="A453" t="str">
            <v>ORD_002515</v>
          </cell>
        </row>
        <row r="454">
          <cell r="A454" t="str">
            <v>ORD_004092</v>
          </cell>
        </row>
        <row r="455">
          <cell r="A455" t="str">
            <v>ORD_004913</v>
          </cell>
        </row>
        <row r="456">
          <cell r="A456" t="str">
            <v>ORD_002769</v>
          </cell>
        </row>
        <row r="457">
          <cell r="A457" t="str">
            <v>ORD_004847</v>
          </cell>
        </row>
        <row r="458">
          <cell r="A458" t="str">
            <v>ORD_003292</v>
          </cell>
        </row>
        <row r="459">
          <cell r="A459" t="str">
            <v>ORD_004726</v>
          </cell>
        </row>
        <row r="460">
          <cell r="A460" t="str">
            <v>ORD_001025</v>
          </cell>
        </row>
        <row r="461">
          <cell r="A461" t="str">
            <v>ORD_004602</v>
          </cell>
        </row>
        <row r="462">
          <cell r="A462" t="str">
            <v>ORD_004364</v>
          </cell>
        </row>
        <row r="463">
          <cell r="A463" t="str">
            <v>ORD_000014</v>
          </cell>
        </row>
        <row r="464">
          <cell r="A464" t="str">
            <v>ORD_003928</v>
          </cell>
        </row>
        <row r="465">
          <cell r="A465" t="str">
            <v>ORD_002728</v>
          </cell>
        </row>
        <row r="466">
          <cell r="A466" t="str">
            <v>ORD_001327</v>
          </cell>
        </row>
        <row r="467">
          <cell r="A467" t="str">
            <v>ORD_004564</v>
          </cell>
        </row>
        <row r="468">
          <cell r="A468" t="str">
            <v>ORD_002126</v>
          </cell>
        </row>
        <row r="469">
          <cell r="A469" t="str">
            <v>ORD_003222</v>
          </cell>
        </row>
        <row r="470">
          <cell r="A470" t="str">
            <v>ORD_003938</v>
          </cell>
        </row>
        <row r="471">
          <cell r="A471" t="str">
            <v>ORD_004968</v>
          </cell>
        </row>
        <row r="472">
          <cell r="A472" t="str">
            <v>ORD_003391</v>
          </cell>
        </row>
        <row r="473">
          <cell r="A473" t="str">
            <v>ORD_002015</v>
          </cell>
        </row>
        <row r="474">
          <cell r="A474" t="str">
            <v>ORD_004537</v>
          </cell>
        </row>
        <row r="475">
          <cell r="A475" t="str">
            <v>ORD_002217</v>
          </cell>
        </row>
        <row r="476">
          <cell r="A476" t="str">
            <v>ORD_001927</v>
          </cell>
        </row>
        <row r="477">
          <cell r="A477" t="str">
            <v>ORD_001517</v>
          </cell>
        </row>
        <row r="478">
          <cell r="A478" t="str">
            <v>ORD_002938</v>
          </cell>
        </row>
        <row r="479">
          <cell r="A479" t="str">
            <v>ORD_001277</v>
          </cell>
        </row>
        <row r="480">
          <cell r="A480" t="str">
            <v>ORD_001687</v>
          </cell>
        </row>
        <row r="481">
          <cell r="A481" t="str">
            <v>ORD_002428</v>
          </cell>
        </row>
        <row r="482">
          <cell r="A482" t="str">
            <v>ORD_003919</v>
          </cell>
        </row>
        <row r="483">
          <cell r="A483" t="str">
            <v>ORD_000161</v>
          </cell>
        </row>
        <row r="484">
          <cell r="A484" t="str">
            <v>ORD_001778</v>
          </cell>
        </row>
        <row r="485">
          <cell r="A485" t="str">
            <v>ORD_001646</v>
          </cell>
        </row>
        <row r="486">
          <cell r="A486" t="str">
            <v>ORD_001305</v>
          </cell>
        </row>
        <row r="487">
          <cell r="A487" t="str">
            <v>ORD_004983</v>
          </cell>
        </row>
        <row r="488">
          <cell r="A488" t="str">
            <v>ORD_000051</v>
          </cell>
        </row>
        <row r="489">
          <cell r="A489" t="str">
            <v>ORD_000508</v>
          </cell>
        </row>
        <row r="490">
          <cell r="A490" t="str">
            <v>ORD_002315</v>
          </cell>
        </row>
        <row r="491">
          <cell r="A491" t="str">
            <v>ORD_004462</v>
          </cell>
        </row>
        <row r="492">
          <cell r="A492" t="str">
            <v>ORD_000719</v>
          </cell>
        </row>
        <row r="493">
          <cell r="A493" t="str">
            <v>ORD_001376</v>
          </cell>
        </row>
        <row r="494">
          <cell r="A494" t="str">
            <v>ORD_001073</v>
          </cell>
        </row>
        <row r="495">
          <cell r="A495" t="str">
            <v>ORD_000019</v>
          </cell>
        </row>
        <row r="496">
          <cell r="A496" t="str">
            <v>ORD_003941</v>
          </cell>
        </row>
        <row r="497">
          <cell r="A497" t="str">
            <v>ORD_002831</v>
          </cell>
        </row>
        <row r="498">
          <cell r="A498" t="str">
            <v>ORD_004903</v>
          </cell>
        </row>
        <row r="499">
          <cell r="A499" t="str">
            <v>ORD_004518</v>
          </cell>
        </row>
        <row r="500">
          <cell r="A500" t="str">
            <v>ORD_003595</v>
          </cell>
        </row>
        <row r="501">
          <cell r="A501" t="str">
            <v>ORD_004445</v>
          </cell>
        </row>
        <row r="502">
          <cell r="A502" t="str">
            <v>ORD_000360</v>
          </cell>
        </row>
        <row r="503">
          <cell r="A503" t="str">
            <v>ORD_003795</v>
          </cell>
        </row>
        <row r="504">
          <cell r="A504" t="str">
            <v>ORD_001930</v>
          </cell>
        </row>
        <row r="505">
          <cell r="A505" t="str">
            <v>ORD_003815</v>
          </cell>
        </row>
        <row r="506">
          <cell r="A506" t="str">
            <v>ORD_004408</v>
          </cell>
        </row>
        <row r="507">
          <cell r="A507" t="str">
            <v>ORD_004539</v>
          </cell>
        </row>
        <row r="508">
          <cell r="A508" t="str">
            <v>ORD_002274</v>
          </cell>
        </row>
        <row r="509">
          <cell r="A509" t="str">
            <v>ORD_004915</v>
          </cell>
        </row>
        <row r="510">
          <cell r="A510" t="str">
            <v>ORD_000314</v>
          </cell>
        </row>
        <row r="511">
          <cell r="A511" t="str">
            <v>ORD_001916</v>
          </cell>
        </row>
        <row r="512">
          <cell r="A512" t="str">
            <v>ORD_003295</v>
          </cell>
        </row>
        <row r="513">
          <cell r="A513" t="str">
            <v>ORD_003764</v>
          </cell>
        </row>
        <row r="514">
          <cell r="A514" t="str">
            <v>ORD_000053</v>
          </cell>
        </row>
        <row r="515">
          <cell r="A515" t="str">
            <v>ORD_001731</v>
          </cell>
        </row>
        <row r="516">
          <cell r="A516" t="str">
            <v>ORD_002912</v>
          </cell>
        </row>
        <row r="517">
          <cell r="A517" t="str">
            <v>ORD_001932</v>
          </cell>
        </row>
        <row r="518">
          <cell r="A518" t="str">
            <v>ORD_004156</v>
          </cell>
        </row>
        <row r="519">
          <cell r="A519" t="str">
            <v>ORD_002990</v>
          </cell>
        </row>
        <row r="520">
          <cell r="A520" t="str">
            <v>ORD_000315</v>
          </cell>
        </row>
        <row r="521">
          <cell r="A521" t="str">
            <v>ORD_001634</v>
          </cell>
        </row>
        <row r="522">
          <cell r="A522" t="str">
            <v>ORD_001197</v>
          </cell>
        </row>
        <row r="523">
          <cell r="A523" t="str">
            <v>ORD_001519</v>
          </cell>
        </row>
        <row r="524">
          <cell r="A524" t="str">
            <v>ORD_002446</v>
          </cell>
        </row>
        <row r="525">
          <cell r="A525" t="str">
            <v>ORD_001749</v>
          </cell>
        </row>
        <row r="526">
          <cell r="A526" t="str">
            <v>ORD_001893</v>
          </cell>
        </row>
        <row r="527">
          <cell r="A527" t="str">
            <v>ORD_000328</v>
          </cell>
        </row>
        <row r="528">
          <cell r="A528" t="str">
            <v>ORD_004114</v>
          </cell>
        </row>
        <row r="529">
          <cell r="A529" t="str">
            <v>ORD_003869</v>
          </cell>
        </row>
        <row r="530">
          <cell r="A530" t="str">
            <v>ORD_000354</v>
          </cell>
        </row>
        <row r="531">
          <cell r="A531" t="str">
            <v>ORD_001764</v>
          </cell>
        </row>
        <row r="532">
          <cell r="A532" t="str">
            <v>ORD_004496</v>
          </cell>
        </row>
        <row r="533">
          <cell r="A533" t="str">
            <v>ORD_003652</v>
          </cell>
        </row>
        <row r="534">
          <cell r="A534" t="str">
            <v>ORD_000454</v>
          </cell>
        </row>
        <row r="535">
          <cell r="A535" t="str">
            <v>ORD_004603</v>
          </cell>
        </row>
        <row r="536">
          <cell r="A536" t="str">
            <v>ORD_002337</v>
          </cell>
        </row>
        <row r="537">
          <cell r="A537" t="str">
            <v>ORD_003200</v>
          </cell>
        </row>
        <row r="538">
          <cell r="A538" t="str">
            <v>ORD_001470</v>
          </cell>
        </row>
        <row r="539">
          <cell r="A539" t="str">
            <v>ORD_000087</v>
          </cell>
        </row>
        <row r="540">
          <cell r="A540" t="str">
            <v>ORD_003195</v>
          </cell>
        </row>
        <row r="541">
          <cell r="A541" t="str">
            <v>ORD_001119</v>
          </cell>
        </row>
        <row r="542">
          <cell r="A542" t="str">
            <v>ORD_001524</v>
          </cell>
        </row>
        <row r="543">
          <cell r="A543" t="str">
            <v>ORD_001474</v>
          </cell>
        </row>
        <row r="544">
          <cell r="A544" t="str">
            <v>ORD_003495</v>
          </cell>
        </row>
        <row r="545">
          <cell r="A545" t="str">
            <v>ORD_002240</v>
          </cell>
        </row>
        <row r="546">
          <cell r="A546" t="str">
            <v>ORD_000969</v>
          </cell>
        </row>
        <row r="547">
          <cell r="A547" t="str">
            <v>ORD_000050</v>
          </cell>
        </row>
        <row r="548">
          <cell r="A548" t="str">
            <v>ORD_004789</v>
          </cell>
        </row>
        <row r="549">
          <cell r="A549" t="str">
            <v>ORD_004567</v>
          </cell>
        </row>
        <row r="550">
          <cell r="A550" t="str">
            <v>ORD_002629</v>
          </cell>
        </row>
        <row r="551">
          <cell r="A551" t="str">
            <v>ORD_004350</v>
          </cell>
        </row>
        <row r="552">
          <cell r="A552" t="str">
            <v>ORD_002161</v>
          </cell>
        </row>
        <row r="553">
          <cell r="A553" t="str">
            <v>ORD_003926</v>
          </cell>
        </row>
        <row r="554">
          <cell r="A554" t="str">
            <v>ORD_004215</v>
          </cell>
        </row>
        <row r="555">
          <cell r="A555" t="str">
            <v>ORD_002412</v>
          </cell>
        </row>
        <row r="556">
          <cell r="A556" t="str">
            <v>ORD_004568</v>
          </cell>
        </row>
        <row r="557">
          <cell r="A557" t="str">
            <v>ORD_000552</v>
          </cell>
        </row>
        <row r="558">
          <cell r="A558" t="str">
            <v>ORD_000010</v>
          </cell>
        </row>
        <row r="559">
          <cell r="A559" t="str">
            <v>ORD_003936</v>
          </cell>
        </row>
        <row r="560">
          <cell r="A560" t="str">
            <v>ORD_001142</v>
          </cell>
        </row>
        <row r="561">
          <cell r="A561" t="str">
            <v>ORD_001959</v>
          </cell>
        </row>
        <row r="562">
          <cell r="A562" t="str">
            <v>ORD_004138</v>
          </cell>
        </row>
        <row r="563">
          <cell r="A563" t="str">
            <v>ORD_004893</v>
          </cell>
        </row>
        <row r="564">
          <cell r="A564" t="str">
            <v>ORD_000483</v>
          </cell>
        </row>
        <row r="565">
          <cell r="A565" t="str">
            <v>ORD_001312</v>
          </cell>
        </row>
        <row r="566">
          <cell r="A566" t="str">
            <v>ORD_002544</v>
          </cell>
        </row>
        <row r="567">
          <cell r="A567" t="str">
            <v>ORD_004951</v>
          </cell>
        </row>
        <row r="568">
          <cell r="A568" t="str">
            <v>ORD_002129</v>
          </cell>
        </row>
        <row r="569">
          <cell r="A569" t="str">
            <v>ORD_000488</v>
          </cell>
        </row>
        <row r="570">
          <cell r="A570" t="str">
            <v>ORD_003250</v>
          </cell>
        </row>
        <row r="571">
          <cell r="A571" t="str">
            <v>ORD_000755</v>
          </cell>
        </row>
        <row r="572">
          <cell r="A572" t="str">
            <v>ORD_003918</v>
          </cell>
        </row>
        <row r="573">
          <cell r="A573" t="str">
            <v>ORD_004112</v>
          </cell>
        </row>
        <row r="574">
          <cell r="A574" t="str">
            <v>ORD_003988</v>
          </cell>
        </row>
        <row r="575">
          <cell r="A575" t="str">
            <v>ORD_003763</v>
          </cell>
        </row>
        <row r="576">
          <cell r="A576" t="str">
            <v>ORD_002903</v>
          </cell>
        </row>
        <row r="577">
          <cell r="A577" t="str">
            <v>ORD_001588</v>
          </cell>
        </row>
        <row r="578">
          <cell r="A578" t="str">
            <v>ORD_000996</v>
          </cell>
        </row>
        <row r="579">
          <cell r="A579" t="str">
            <v>ORD_000207</v>
          </cell>
        </row>
        <row r="580">
          <cell r="A580" t="str">
            <v>ORD_001968</v>
          </cell>
        </row>
        <row r="581">
          <cell r="A581" t="str">
            <v>ORD_000953</v>
          </cell>
        </row>
        <row r="582">
          <cell r="A582" t="str">
            <v>ORD_000627</v>
          </cell>
        </row>
        <row r="583">
          <cell r="A583" t="str">
            <v>ORD_003182</v>
          </cell>
        </row>
        <row r="584">
          <cell r="A584" t="str">
            <v>ORD_000335</v>
          </cell>
        </row>
        <row r="585">
          <cell r="A585" t="str">
            <v>ORD_004172</v>
          </cell>
        </row>
        <row r="586">
          <cell r="A586" t="str">
            <v>ORD_004093</v>
          </cell>
        </row>
        <row r="587">
          <cell r="A587" t="str">
            <v>ORD_001846</v>
          </cell>
        </row>
        <row r="588">
          <cell r="A588" t="str">
            <v>ORD_001867</v>
          </cell>
        </row>
        <row r="589">
          <cell r="A589" t="str">
            <v>ORD_001705</v>
          </cell>
        </row>
        <row r="590">
          <cell r="A590" t="str">
            <v>ORD_000584</v>
          </cell>
        </row>
        <row r="591">
          <cell r="A591" t="str">
            <v>ORD_004949</v>
          </cell>
        </row>
        <row r="592">
          <cell r="A592" t="str">
            <v>ORD_002959</v>
          </cell>
        </row>
        <row r="593">
          <cell r="A593" t="str">
            <v>ORD_002492</v>
          </cell>
        </row>
        <row r="594">
          <cell r="A594" t="str">
            <v>ORD_002055</v>
          </cell>
        </row>
        <row r="595">
          <cell r="A595" t="str">
            <v>ORD_003081</v>
          </cell>
        </row>
        <row r="596">
          <cell r="A596" t="str">
            <v>ORD_003043</v>
          </cell>
        </row>
        <row r="597">
          <cell r="A597" t="str">
            <v>ORD_002478</v>
          </cell>
        </row>
        <row r="598">
          <cell r="A598" t="str">
            <v>ORD_001817</v>
          </cell>
        </row>
        <row r="599">
          <cell r="A599" t="str">
            <v>ORD_000165</v>
          </cell>
        </row>
        <row r="600">
          <cell r="A600" t="str">
            <v>ORD_000528</v>
          </cell>
        </row>
        <row r="601">
          <cell r="A601" t="str">
            <v>ORD_003484</v>
          </cell>
        </row>
        <row r="602">
          <cell r="A602" t="str">
            <v>ORD_000228</v>
          </cell>
        </row>
        <row r="603">
          <cell r="A603" t="str">
            <v>ORD_003371</v>
          </cell>
        </row>
        <row r="604">
          <cell r="A604" t="str">
            <v>ORD_000193</v>
          </cell>
        </row>
        <row r="605">
          <cell r="A605" t="str">
            <v>ORD_000002</v>
          </cell>
        </row>
        <row r="606">
          <cell r="A606" t="str">
            <v>ORD_004649</v>
          </cell>
        </row>
        <row r="607">
          <cell r="A607" t="str">
            <v>ORD_003265</v>
          </cell>
        </row>
        <row r="608">
          <cell r="A608" t="str">
            <v>ORD_004332</v>
          </cell>
        </row>
        <row r="609">
          <cell r="A609" t="str">
            <v>ORD_004167</v>
          </cell>
        </row>
        <row r="610">
          <cell r="A610" t="str">
            <v>ORD_001379</v>
          </cell>
        </row>
        <row r="611">
          <cell r="A611" t="str">
            <v>ORD_002052</v>
          </cell>
        </row>
        <row r="612">
          <cell r="A612" t="str">
            <v>ORD_000948</v>
          </cell>
        </row>
        <row r="613">
          <cell r="A613" t="str">
            <v>ORD_004334</v>
          </cell>
        </row>
        <row r="614">
          <cell r="A614" t="str">
            <v>ORD_004237</v>
          </cell>
        </row>
        <row r="615">
          <cell r="A615" t="str">
            <v>ORD_002115</v>
          </cell>
        </row>
        <row r="616">
          <cell r="A616" t="str">
            <v>ORD_001896</v>
          </cell>
        </row>
        <row r="617">
          <cell r="A617" t="str">
            <v>ORD_001156</v>
          </cell>
        </row>
        <row r="618">
          <cell r="A618" t="str">
            <v>ORD_004224</v>
          </cell>
        </row>
        <row r="619">
          <cell r="A619" t="str">
            <v>ORD_001837</v>
          </cell>
        </row>
        <row r="620">
          <cell r="A620" t="str">
            <v>ORD_001238</v>
          </cell>
        </row>
        <row r="621">
          <cell r="A621" t="str">
            <v>ORD_000935</v>
          </cell>
        </row>
        <row r="622">
          <cell r="A622" t="str">
            <v>ORD_002148</v>
          </cell>
        </row>
        <row r="623">
          <cell r="A623" t="str">
            <v>ORD_000185</v>
          </cell>
        </row>
        <row r="624">
          <cell r="A624" t="str">
            <v>ORD_001973</v>
          </cell>
        </row>
        <row r="625">
          <cell r="A625" t="str">
            <v>ORD_004034</v>
          </cell>
        </row>
        <row r="626">
          <cell r="A626" t="str">
            <v>ORD_002700</v>
          </cell>
        </row>
        <row r="627">
          <cell r="A627" t="str">
            <v>ORD_001672</v>
          </cell>
        </row>
        <row r="628">
          <cell r="A628" t="str">
            <v>ORD_001331</v>
          </cell>
        </row>
        <row r="629">
          <cell r="A629" t="str">
            <v>ORD_000637</v>
          </cell>
        </row>
        <row r="630">
          <cell r="A630" t="str">
            <v>ORD_004142</v>
          </cell>
        </row>
        <row r="631">
          <cell r="A631" t="str">
            <v>ORD_004258</v>
          </cell>
        </row>
        <row r="632">
          <cell r="A632" t="str">
            <v>ORD_000620</v>
          </cell>
        </row>
        <row r="633">
          <cell r="A633" t="str">
            <v>ORD_000487</v>
          </cell>
        </row>
        <row r="634">
          <cell r="A634" t="str">
            <v>ORD_003385</v>
          </cell>
        </row>
        <row r="635">
          <cell r="A635" t="str">
            <v>ORD_004793</v>
          </cell>
        </row>
        <row r="636">
          <cell r="A636" t="str">
            <v>ORD_001724</v>
          </cell>
        </row>
        <row r="637">
          <cell r="A637" t="str">
            <v>ORD_004728</v>
          </cell>
        </row>
        <row r="638">
          <cell r="A638" t="str">
            <v>ORD_001730</v>
          </cell>
        </row>
        <row r="639">
          <cell r="A639" t="str">
            <v>ORD_002988</v>
          </cell>
        </row>
        <row r="640">
          <cell r="A640" t="str">
            <v>ORD_003321</v>
          </cell>
        </row>
        <row r="641">
          <cell r="A641" t="str">
            <v>ORD_003332</v>
          </cell>
        </row>
        <row r="642">
          <cell r="A642" t="str">
            <v>ORD_002708</v>
          </cell>
        </row>
        <row r="643">
          <cell r="A643" t="str">
            <v>ORD_004762</v>
          </cell>
        </row>
        <row r="644">
          <cell r="A644" t="str">
            <v>ORD_003626</v>
          </cell>
        </row>
        <row r="645">
          <cell r="A645" t="str">
            <v>ORD_003453</v>
          </cell>
        </row>
        <row r="646">
          <cell r="A646" t="str">
            <v>ORD_001173</v>
          </cell>
        </row>
        <row r="647">
          <cell r="A647" t="str">
            <v>ORD_004367</v>
          </cell>
        </row>
        <row r="648">
          <cell r="A648" t="str">
            <v>ORD_004255</v>
          </cell>
        </row>
        <row r="649">
          <cell r="A649" t="str">
            <v>ORD_001381</v>
          </cell>
        </row>
        <row r="650">
          <cell r="A650" t="str">
            <v>ORD_004555</v>
          </cell>
        </row>
        <row r="651">
          <cell r="A651" t="str">
            <v>ORD_002079</v>
          </cell>
        </row>
        <row r="652">
          <cell r="A652" t="str">
            <v>ORD_001102</v>
          </cell>
        </row>
        <row r="653">
          <cell r="A653" t="str">
            <v>ORD_004967</v>
          </cell>
        </row>
        <row r="654">
          <cell r="A654" t="str">
            <v>ORD_000274</v>
          </cell>
        </row>
        <row r="655">
          <cell r="A655" t="str">
            <v>ORD_001098</v>
          </cell>
        </row>
        <row r="656">
          <cell r="A656" t="str">
            <v>ORD_004739</v>
          </cell>
        </row>
        <row r="657">
          <cell r="A657" t="str">
            <v>ORD_000420</v>
          </cell>
        </row>
        <row r="658">
          <cell r="A658" t="str">
            <v>ORD_000977</v>
          </cell>
        </row>
        <row r="659">
          <cell r="A659" t="str">
            <v>ORD_004957</v>
          </cell>
        </row>
        <row r="660">
          <cell r="A660" t="str">
            <v>ORD_004828</v>
          </cell>
        </row>
        <row r="661">
          <cell r="A661" t="str">
            <v>ORD_001363</v>
          </cell>
        </row>
        <row r="662">
          <cell r="A662" t="str">
            <v>ORD_000768</v>
          </cell>
        </row>
        <row r="663">
          <cell r="A663" t="str">
            <v>ORD_002752</v>
          </cell>
        </row>
        <row r="664">
          <cell r="A664" t="str">
            <v>ORD_003151</v>
          </cell>
        </row>
        <row r="665">
          <cell r="A665" t="str">
            <v>ORD_001945</v>
          </cell>
        </row>
        <row r="666">
          <cell r="A666" t="str">
            <v>ORD_002720</v>
          </cell>
        </row>
        <row r="667">
          <cell r="A667" t="str">
            <v>ORD_002483</v>
          </cell>
        </row>
        <row r="668">
          <cell r="A668" t="str">
            <v>ORD_001774</v>
          </cell>
        </row>
        <row r="669">
          <cell r="A669" t="str">
            <v>ORD_002907</v>
          </cell>
        </row>
        <row r="670">
          <cell r="A670" t="str">
            <v>ORD_001257</v>
          </cell>
        </row>
        <row r="671">
          <cell r="A671" t="str">
            <v>ORD_002417</v>
          </cell>
        </row>
        <row r="672">
          <cell r="A672" t="str">
            <v>ORD_000064</v>
          </cell>
        </row>
        <row r="673">
          <cell r="A673" t="str">
            <v>ORD_002600</v>
          </cell>
        </row>
        <row r="674">
          <cell r="A674" t="str">
            <v>ORD_000664</v>
          </cell>
        </row>
        <row r="675">
          <cell r="A675" t="str">
            <v>ORD_001693</v>
          </cell>
        </row>
        <row r="676">
          <cell r="A676" t="str">
            <v>ORD_004606</v>
          </cell>
        </row>
        <row r="677">
          <cell r="A677" t="str">
            <v>ORD_002807</v>
          </cell>
        </row>
        <row r="678">
          <cell r="A678" t="str">
            <v>ORD_004502</v>
          </cell>
        </row>
        <row r="679">
          <cell r="A679" t="str">
            <v>ORD_001137</v>
          </cell>
        </row>
        <row r="680">
          <cell r="A680" t="str">
            <v>ORD_001465</v>
          </cell>
        </row>
        <row r="681">
          <cell r="A681" t="str">
            <v>ORD_002672</v>
          </cell>
        </row>
        <row r="682">
          <cell r="A682" t="str">
            <v>ORD_001877</v>
          </cell>
        </row>
        <row r="683">
          <cell r="A683" t="str">
            <v>ORD_001833</v>
          </cell>
        </row>
        <row r="684">
          <cell r="A684" t="str">
            <v>ORD_004756</v>
          </cell>
        </row>
        <row r="685">
          <cell r="A685" t="str">
            <v>ORD_001789</v>
          </cell>
        </row>
        <row r="686">
          <cell r="A686" t="str">
            <v>ORD_002826</v>
          </cell>
        </row>
        <row r="687">
          <cell r="A687" t="str">
            <v>ORD_001130</v>
          </cell>
        </row>
        <row r="688">
          <cell r="A688" t="str">
            <v>ORD_002783</v>
          </cell>
        </row>
        <row r="689">
          <cell r="A689" t="str">
            <v>ORD_000248</v>
          </cell>
        </row>
        <row r="690">
          <cell r="A690" t="str">
            <v>ORD_000932</v>
          </cell>
        </row>
        <row r="691">
          <cell r="A691" t="str">
            <v>ORD_004417</v>
          </cell>
        </row>
        <row r="692">
          <cell r="A692" t="str">
            <v>ORD_002792</v>
          </cell>
        </row>
        <row r="693">
          <cell r="A693" t="str">
            <v>ORD_003458</v>
          </cell>
        </row>
        <row r="694">
          <cell r="A694" t="str">
            <v>ORD_002989</v>
          </cell>
        </row>
        <row r="695">
          <cell r="A695" t="str">
            <v>ORD_002308</v>
          </cell>
        </row>
        <row r="696">
          <cell r="A696" t="str">
            <v>ORD_000540</v>
          </cell>
        </row>
        <row r="697">
          <cell r="A697" t="str">
            <v>ORD_000249</v>
          </cell>
        </row>
        <row r="698">
          <cell r="A698" t="str">
            <v>ORD_000877</v>
          </cell>
        </row>
        <row r="699">
          <cell r="A699" t="str">
            <v>ORD_000676</v>
          </cell>
        </row>
        <row r="700">
          <cell r="A700" t="str">
            <v>ORD_004486</v>
          </cell>
        </row>
        <row r="701">
          <cell r="A701" t="str">
            <v>ORD_001937</v>
          </cell>
        </row>
        <row r="702">
          <cell r="A702" t="str">
            <v>ORD_002767</v>
          </cell>
        </row>
        <row r="703">
          <cell r="A703" t="str">
            <v>ORD_004927</v>
          </cell>
        </row>
        <row r="704">
          <cell r="A704" t="str">
            <v>ORD_002085</v>
          </cell>
        </row>
        <row r="705">
          <cell r="A705" t="str">
            <v>ORD_002297</v>
          </cell>
        </row>
        <row r="706">
          <cell r="A706" t="str">
            <v>ORD_002898</v>
          </cell>
        </row>
        <row r="707">
          <cell r="A707" t="str">
            <v>ORD_001812</v>
          </cell>
        </row>
        <row r="708">
          <cell r="A708" t="str">
            <v>ORD_000517</v>
          </cell>
        </row>
        <row r="709">
          <cell r="A709" t="str">
            <v>ORD_002801</v>
          </cell>
        </row>
        <row r="710">
          <cell r="A710" t="str">
            <v>ORD_004420</v>
          </cell>
        </row>
        <row r="711">
          <cell r="A711" t="str">
            <v>ORD_001653</v>
          </cell>
        </row>
        <row r="712">
          <cell r="A712" t="str">
            <v>ORD_000460</v>
          </cell>
        </row>
        <row r="713">
          <cell r="A713" t="str">
            <v>ORD_001357</v>
          </cell>
        </row>
        <row r="714">
          <cell r="A714" t="str">
            <v>ORD_001645</v>
          </cell>
        </row>
        <row r="715">
          <cell r="A715" t="str">
            <v>ORD_001821</v>
          </cell>
        </row>
        <row r="716">
          <cell r="A716" t="str">
            <v>ORD_000303</v>
          </cell>
        </row>
        <row r="717">
          <cell r="A717" t="str">
            <v>ORD_004559</v>
          </cell>
        </row>
        <row r="718">
          <cell r="A718" t="str">
            <v>ORD_004544</v>
          </cell>
        </row>
        <row r="719">
          <cell r="A719" t="str">
            <v>ORD_000442</v>
          </cell>
        </row>
        <row r="720">
          <cell r="A720" t="str">
            <v>ORD_004659</v>
          </cell>
        </row>
        <row r="721">
          <cell r="A721" t="str">
            <v>ORD_002350</v>
          </cell>
        </row>
        <row r="722">
          <cell r="A722" t="str">
            <v>ORD_003927</v>
          </cell>
        </row>
        <row r="723">
          <cell r="A723" t="str">
            <v>ORD_004511</v>
          </cell>
        </row>
        <row r="724">
          <cell r="A724" t="str">
            <v>ORD_003397</v>
          </cell>
        </row>
        <row r="725">
          <cell r="A725" t="str">
            <v>ORD_000770</v>
          </cell>
        </row>
        <row r="726">
          <cell r="A726" t="str">
            <v>ORD_003449</v>
          </cell>
        </row>
        <row r="727">
          <cell r="A727" t="str">
            <v>ORD_003584</v>
          </cell>
        </row>
        <row r="728">
          <cell r="A728" t="str">
            <v>ORD_004578</v>
          </cell>
        </row>
        <row r="729">
          <cell r="A729" t="str">
            <v>ORD_003339</v>
          </cell>
        </row>
        <row r="730">
          <cell r="A730" t="str">
            <v>ORD_004917</v>
          </cell>
        </row>
        <row r="731">
          <cell r="A731" t="str">
            <v>ORD_000485</v>
          </cell>
        </row>
        <row r="732">
          <cell r="A732" t="str">
            <v>ORD_002961</v>
          </cell>
        </row>
        <row r="733">
          <cell r="A733" t="str">
            <v>ORD_003258</v>
          </cell>
        </row>
        <row r="734">
          <cell r="A734" t="str">
            <v>ORD_004253</v>
          </cell>
        </row>
        <row r="735">
          <cell r="A735" t="str">
            <v>ORD_002550</v>
          </cell>
        </row>
        <row r="736">
          <cell r="A736" t="str">
            <v>ORD_004409</v>
          </cell>
        </row>
        <row r="737">
          <cell r="A737" t="str">
            <v>ORD_004945</v>
          </cell>
        </row>
        <row r="738">
          <cell r="A738" t="str">
            <v>ORD_004293</v>
          </cell>
        </row>
        <row r="739">
          <cell r="A739" t="str">
            <v>ORD_001405</v>
          </cell>
        </row>
        <row r="740">
          <cell r="A740" t="str">
            <v>ORD_003432</v>
          </cell>
        </row>
        <row r="741">
          <cell r="A741" t="str">
            <v>ORD_002567</v>
          </cell>
        </row>
        <row r="742">
          <cell r="A742" t="str">
            <v>ORD_001734</v>
          </cell>
        </row>
        <row r="743">
          <cell r="A743" t="str">
            <v>ORD_000889</v>
          </cell>
        </row>
        <row r="744">
          <cell r="A744" t="str">
            <v>ORD_002721</v>
          </cell>
        </row>
        <row r="745">
          <cell r="A745" t="str">
            <v>ORD_003989</v>
          </cell>
        </row>
        <row r="746">
          <cell r="A746" t="str">
            <v>ORD_004008</v>
          </cell>
        </row>
        <row r="747">
          <cell r="A747" t="str">
            <v>ORD_002453</v>
          </cell>
        </row>
        <row r="748">
          <cell r="A748" t="str">
            <v>ORD_004742</v>
          </cell>
        </row>
        <row r="749">
          <cell r="A749" t="str">
            <v>ORD_003723</v>
          </cell>
        </row>
        <row r="750">
          <cell r="A750" t="str">
            <v>ORD_003102</v>
          </cell>
        </row>
        <row r="751">
          <cell r="A751" t="str">
            <v>ORD_003203</v>
          </cell>
        </row>
        <row r="752">
          <cell r="A752" t="str">
            <v>ORD_004572</v>
          </cell>
        </row>
        <row r="753">
          <cell r="A753" t="str">
            <v>ORD_002331</v>
          </cell>
        </row>
        <row r="754">
          <cell r="A754" t="str">
            <v>ORD_000158</v>
          </cell>
        </row>
        <row r="755">
          <cell r="A755" t="str">
            <v>ORD_002692</v>
          </cell>
        </row>
        <row r="756">
          <cell r="A756" t="str">
            <v>ORD_001632</v>
          </cell>
        </row>
        <row r="757">
          <cell r="A757" t="str">
            <v>ORD_003181</v>
          </cell>
        </row>
        <row r="758">
          <cell r="A758" t="str">
            <v>ORD_002403</v>
          </cell>
        </row>
        <row r="759">
          <cell r="A759" t="str">
            <v>ORD_000816</v>
          </cell>
        </row>
        <row r="760">
          <cell r="A760" t="str">
            <v>ORD_002074</v>
          </cell>
        </row>
        <row r="761">
          <cell r="A761" t="str">
            <v>ORD_004267</v>
          </cell>
        </row>
        <row r="762">
          <cell r="A762" t="str">
            <v>ORD_003007</v>
          </cell>
        </row>
        <row r="763">
          <cell r="A763" t="str">
            <v>ORD_003017</v>
          </cell>
        </row>
        <row r="764">
          <cell r="A764" t="str">
            <v>ORD_004384</v>
          </cell>
        </row>
        <row r="765">
          <cell r="A765" t="str">
            <v>ORD_000008</v>
          </cell>
        </row>
        <row r="766">
          <cell r="A766" t="str">
            <v>ORD_003963</v>
          </cell>
        </row>
        <row r="767">
          <cell r="A767" t="str">
            <v>ORD_003860</v>
          </cell>
        </row>
        <row r="768">
          <cell r="A768" t="str">
            <v>ORD_000341</v>
          </cell>
        </row>
        <row r="769">
          <cell r="A769" t="str">
            <v>ORD_003297</v>
          </cell>
        </row>
        <row r="770">
          <cell r="A770" t="str">
            <v>ORD_000145</v>
          </cell>
        </row>
        <row r="771">
          <cell r="A771" t="str">
            <v>ORD_002755</v>
          </cell>
        </row>
        <row r="772">
          <cell r="A772" t="str">
            <v>ORD_003704</v>
          </cell>
        </row>
        <row r="773">
          <cell r="A773" t="str">
            <v>ORD_004614</v>
          </cell>
        </row>
        <row r="774">
          <cell r="A774" t="str">
            <v>ORD_003516</v>
          </cell>
        </row>
        <row r="775">
          <cell r="A775" t="str">
            <v>ORD_004282</v>
          </cell>
        </row>
        <row r="776">
          <cell r="A776" t="str">
            <v>ORD_004604</v>
          </cell>
        </row>
        <row r="777">
          <cell r="A777" t="str">
            <v>ORD_001725</v>
          </cell>
        </row>
        <row r="778">
          <cell r="A778" t="str">
            <v>ORD_002460</v>
          </cell>
        </row>
        <row r="779">
          <cell r="A779" t="str">
            <v>ORD_004061</v>
          </cell>
        </row>
        <row r="780">
          <cell r="A780" t="str">
            <v>ORD_004432</v>
          </cell>
        </row>
        <row r="781">
          <cell r="A781" t="str">
            <v>ORD_001675</v>
          </cell>
        </row>
        <row r="782">
          <cell r="A782" t="str">
            <v>ORD_002011</v>
          </cell>
        </row>
        <row r="783">
          <cell r="A783" t="str">
            <v>ORD_002290</v>
          </cell>
        </row>
        <row r="784">
          <cell r="A784" t="str">
            <v>ORD_001245</v>
          </cell>
        </row>
        <row r="785">
          <cell r="A785" t="str">
            <v>ORD_002911</v>
          </cell>
        </row>
        <row r="786">
          <cell r="A786" t="str">
            <v>ORD_004145</v>
          </cell>
        </row>
        <row r="787">
          <cell r="A787" t="str">
            <v>ORD_004262</v>
          </cell>
        </row>
        <row r="788">
          <cell r="A788" t="str">
            <v>ORD_004900</v>
          </cell>
        </row>
        <row r="789">
          <cell r="A789" t="str">
            <v>ORD_002006</v>
          </cell>
        </row>
        <row r="790">
          <cell r="A790" t="str">
            <v>ORD_002889</v>
          </cell>
        </row>
        <row r="791">
          <cell r="A791" t="str">
            <v>ORD_003533</v>
          </cell>
        </row>
        <row r="792">
          <cell r="A792" t="str">
            <v>ORD_001479</v>
          </cell>
        </row>
        <row r="793">
          <cell r="A793" t="str">
            <v>ORD_002998</v>
          </cell>
        </row>
        <row r="794">
          <cell r="A794" t="str">
            <v>ORD_003839</v>
          </cell>
        </row>
        <row r="795">
          <cell r="A795" t="str">
            <v>ORD_000143</v>
          </cell>
        </row>
        <row r="796">
          <cell r="A796" t="str">
            <v>ORD_004581</v>
          </cell>
        </row>
        <row r="797">
          <cell r="A797" t="str">
            <v>ORD_002503</v>
          </cell>
        </row>
        <row r="798">
          <cell r="A798" t="str">
            <v>ORD_002665</v>
          </cell>
        </row>
        <row r="799">
          <cell r="A799" t="str">
            <v>ORD_003575</v>
          </cell>
        </row>
        <row r="800">
          <cell r="A800" t="str">
            <v>ORD_001557</v>
          </cell>
        </row>
        <row r="801">
          <cell r="A801" t="str">
            <v>ORD_004422</v>
          </cell>
        </row>
        <row r="802">
          <cell r="A802" t="str">
            <v>ORD_002162</v>
          </cell>
        </row>
        <row r="803">
          <cell r="A803" t="str">
            <v>ORD_001811</v>
          </cell>
        </row>
        <row r="804">
          <cell r="A804" t="str">
            <v>ORD_003668</v>
          </cell>
        </row>
        <row r="805">
          <cell r="A805" t="str">
            <v>ORD_003968</v>
          </cell>
        </row>
        <row r="806">
          <cell r="A806" t="str">
            <v>ORD_001538</v>
          </cell>
        </row>
        <row r="807">
          <cell r="A807" t="str">
            <v>ORD_001398</v>
          </cell>
        </row>
        <row r="808">
          <cell r="A808" t="str">
            <v>ORD_002452</v>
          </cell>
        </row>
        <row r="809">
          <cell r="A809" t="str">
            <v>ORD_003161</v>
          </cell>
        </row>
        <row r="810">
          <cell r="A810" t="str">
            <v>ORD_001875</v>
          </cell>
        </row>
        <row r="811">
          <cell r="A811" t="str">
            <v>ORD_002425</v>
          </cell>
        </row>
        <row r="812">
          <cell r="A812" t="str">
            <v>ORD_003074</v>
          </cell>
        </row>
        <row r="813">
          <cell r="A813" t="str">
            <v>ORD_000748</v>
          </cell>
        </row>
        <row r="814">
          <cell r="A814" t="str">
            <v>ORD_002159</v>
          </cell>
        </row>
        <row r="815">
          <cell r="A815" t="str">
            <v>ORD_000728</v>
          </cell>
        </row>
        <row r="816">
          <cell r="A816" t="str">
            <v>ORD_000538</v>
          </cell>
        </row>
        <row r="817">
          <cell r="A817" t="str">
            <v>ORD_001805</v>
          </cell>
        </row>
        <row r="818">
          <cell r="A818" t="str">
            <v>ORD_004982</v>
          </cell>
        </row>
        <row r="819">
          <cell r="A819" t="str">
            <v>ORD_001167</v>
          </cell>
        </row>
        <row r="820">
          <cell r="A820" t="str">
            <v>ORD_003766</v>
          </cell>
        </row>
        <row r="821">
          <cell r="A821" t="str">
            <v>ORD_000531</v>
          </cell>
        </row>
        <row r="822">
          <cell r="A822" t="str">
            <v>ORD_001428</v>
          </cell>
        </row>
        <row r="823">
          <cell r="A823" t="str">
            <v>ORD_002472</v>
          </cell>
        </row>
        <row r="824">
          <cell r="A824" t="str">
            <v>ORD_003379</v>
          </cell>
        </row>
        <row r="825">
          <cell r="A825" t="str">
            <v>ORD_003014</v>
          </cell>
        </row>
        <row r="826">
          <cell r="A826" t="str">
            <v>ORD_003562</v>
          </cell>
        </row>
        <row r="827">
          <cell r="A827" t="str">
            <v>ORD_002285</v>
          </cell>
        </row>
        <row r="828">
          <cell r="A828" t="str">
            <v>ORD_001242</v>
          </cell>
        </row>
        <row r="829">
          <cell r="A829" t="str">
            <v>ORD_004807</v>
          </cell>
        </row>
        <row r="830">
          <cell r="A830" t="str">
            <v>ORD_003729</v>
          </cell>
        </row>
        <row r="831">
          <cell r="A831" t="str">
            <v>ORD_004134</v>
          </cell>
        </row>
        <row r="832">
          <cell r="A832" t="str">
            <v>ORD_004595</v>
          </cell>
        </row>
        <row r="833">
          <cell r="A833" t="str">
            <v>ORD_004872</v>
          </cell>
        </row>
        <row r="834">
          <cell r="A834" t="str">
            <v>ORD_002191</v>
          </cell>
        </row>
        <row r="835">
          <cell r="A835" t="str">
            <v>ORD_001166</v>
          </cell>
        </row>
        <row r="836">
          <cell r="A836" t="str">
            <v>ORD_000817</v>
          </cell>
        </row>
        <row r="837">
          <cell r="A837" t="str">
            <v>ORD_003087</v>
          </cell>
        </row>
        <row r="838">
          <cell r="A838" t="str">
            <v>ORD_002237</v>
          </cell>
        </row>
        <row r="839">
          <cell r="A839" t="str">
            <v>ORD_001462</v>
          </cell>
        </row>
        <row r="840">
          <cell r="A840" t="str">
            <v>ORD_002353</v>
          </cell>
        </row>
        <row r="841">
          <cell r="A841" t="str">
            <v>ORD_003341</v>
          </cell>
        </row>
        <row r="842">
          <cell r="A842" t="str">
            <v>ORD_001384</v>
          </cell>
        </row>
        <row r="843">
          <cell r="A843" t="str">
            <v>ORD_000216</v>
          </cell>
        </row>
        <row r="844">
          <cell r="A844" t="str">
            <v>ORD_000930</v>
          </cell>
        </row>
        <row r="845">
          <cell r="A845" t="str">
            <v>ORD_001003</v>
          </cell>
        </row>
        <row r="846">
          <cell r="A846" t="str">
            <v>ORD_004067</v>
          </cell>
        </row>
        <row r="847">
          <cell r="A847" t="str">
            <v>ORD_001923</v>
          </cell>
        </row>
        <row r="848">
          <cell r="A848" t="str">
            <v>ORD_002167</v>
          </cell>
        </row>
        <row r="849">
          <cell r="A849" t="str">
            <v>ORD_002809</v>
          </cell>
        </row>
        <row r="850">
          <cell r="A850" t="str">
            <v>ORD_000166</v>
          </cell>
        </row>
        <row r="851">
          <cell r="A851" t="str">
            <v>ORD_002683</v>
          </cell>
        </row>
        <row r="852">
          <cell r="A852" t="str">
            <v>ORD_000821</v>
          </cell>
        </row>
        <row r="853">
          <cell r="A853" t="str">
            <v>ORD_002837</v>
          </cell>
        </row>
        <row r="854">
          <cell r="A854" t="str">
            <v>ORD_003908</v>
          </cell>
        </row>
        <row r="855">
          <cell r="A855" t="str">
            <v>ORD_003913</v>
          </cell>
        </row>
        <row r="856">
          <cell r="A856" t="str">
            <v>ORD_004698</v>
          </cell>
        </row>
        <row r="857">
          <cell r="A857" t="str">
            <v>ORD_003677</v>
          </cell>
        </row>
        <row r="858">
          <cell r="A858" t="str">
            <v>ORD_002332</v>
          </cell>
        </row>
        <row r="859">
          <cell r="A859" t="str">
            <v>ORD_004950</v>
          </cell>
        </row>
        <row r="860">
          <cell r="A860" t="str">
            <v>ORD_000389</v>
          </cell>
        </row>
        <row r="861">
          <cell r="A861" t="str">
            <v>ORD_004706</v>
          </cell>
        </row>
        <row r="862">
          <cell r="A862" t="str">
            <v>ORD_000560</v>
          </cell>
        </row>
        <row r="863">
          <cell r="A863" t="str">
            <v>ORD_003478</v>
          </cell>
        </row>
        <row r="864">
          <cell r="A864" t="str">
            <v>ORD_000046</v>
          </cell>
        </row>
        <row r="865">
          <cell r="A865" t="str">
            <v>ORD_000491</v>
          </cell>
        </row>
        <row r="866">
          <cell r="A866" t="str">
            <v>ORD_001483</v>
          </cell>
        </row>
        <row r="867">
          <cell r="A867" t="str">
            <v>ORD_001746</v>
          </cell>
        </row>
        <row r="868">
          <cell r="A868" t="str">
            <v>ORD_001963</v>
          </cell>
        </row>
        <row r="869">
          <cell r="A869" t="str">
            <v>ORD_002033</v>
          </cell>
        </row>
        <row r="870">
          <cell r="A870" t="str">
            <v>ORD_002034</v>
          </cell>
        </row>
        <row r="871">
          <cell r="A871" t="str">
            <v>ORD_002023</v>
          </cell>
        </row>
        <row r="872">
          <cell r="A872" t="str">
            <v>ORD_000196</v>
          </cell>
        </row>
        <row r="873">
          <cell r="A873" t="str">
            <v>ORD_004504</v>
          </cell>
        </row>
        <row r="874">
          <cell r="A874" t="str">
            <v>ORD_002881</v>
          </cell>
        </row>
        <row r="875">
          <cell r="A875" t="str">
            <v>ORD_003206</v>
          </cell>
        </row>
        <row r="876">
          <cell r="A876" t="str">
            <v>ORD_001571</v>
          </cell>
        </row>
        <row r="877">
          <cell r="A877" t="str">
            <v>ORD_004969</v>
          </cell>
        </row>
        <row r="878">
          <cell r="A878" t="str">
            <v>ORD_001205</v>
          </cell>
        </row>
        <row r="879">
          <cell r="A879" t="str">
            <v>ORD_000407</v>
          </cell>
        </row>
        <row r="880">
          <cell r="A880" t="str">
            <v>ORD_002742</v>
          </cell>
        </row>
        <row r="881">
          <cell r="A881" t="str">
            <v>ORD_001210</v>
          </cell>
        </row>
        <row r="882">
          <cell r="A882" t="str">
            <v>ORD_000467</v>
          </cell>
        </row>
        <row r="883">
          <cell r="A883" t="str">
            <v>ORD_004786</v>
          </cell>
        </row>
        <row r="884">
          <cell r="A884" t="str">
            <v>ORD_001370</v>
          </cell>
        </row>
        <row r="885">
          <cell r="A885" t="str">
            <v>ORD_002929</v>
          </cell>
        </row>
        <row r="886">
          <cell r="A886" t="str">
            <v>ORD_000788</v>
          </cell>
        </row>
        <row r="887">
          <cell r="A887" t="str">
            <v>ORD_003324</v>
          </cell>
        </row>
        <row r="888">
          <cell r="A888" t="str">
            <v>ORD_002921</v>
          </cell>
        </row>
        <row r="889">
          <cell r="A889" t="str">
            <v>ORD_002257</v>
          </cell>
        </row>
        <row r="890">
          <cell r="A890" t="str">
            <v>ORD_000041</v>
          </cell>
        </row>
        <row r="891">
          <cell r="A891" t="str">
            <v>ORD_004181</v>
          </cell>
        </row>
        <row r="892">
          <cell r="A892" t="str">
            <v>ORD_000581</v>
          </cell>
        </row>
        <row r="893">
          <cell r="A893" t="str">
            <v>ORD_004514</v>
          </cell>
        </row>
        <row r="894">
          <cell r="A894" t="str">
            <v>ORD_000168</v>
          </cell>
        </row>
        <row r="895">
          <cell r="A895" t="str">
            <v>ORD_002663</v>
          </cell>
        </row>
        <row r="896">
          <cell r="A896" t="str">
            <v>ORD_002398</v>
          </cell>
        </row>
        <row r="897">
          <cell r="A897" t="str">
            <v>ORD_002421</v>
          </cell>
        </row>
        <row r="898">
          <cell r="A898" t="str">
            <v>ORD_001314</v>
          </cell>
        </row>
        <row r="899">
          <cell r="A899" t="str">
            <v>ORD_000520</v>
          </cell>
        </row>
        <row r="900">
          <cell r="A900" t="str">
            <v>ORD_000219</v>
          </cell>
        </row>
        <row r="901">
          <cell r="A901" t="str">
            <v>ORD_002812</v>
          </cell>
        </row>
        <row r="902">
          <cell r="A902" t="str">
            <v>ORD_000951</v>
          </cell>
        </row>
        <row r="903">
          <cell r="A903" t="str">
            <v>ORD_002354</v>
          </cell>
        </row>
        <row r="904">
          <cell r="A904" t="str">
            <v>ORD_000094</v>
          </cell>
        </row>
        <row r="905">
          <cell r="A905" t="str">
            <v>ORD_003847</v>
          </cell>
        </row>
        <row r="906">
          <cell r="A906" t="str">
            <v>ORD_000110</v>
          </cell>
        </row>
        <row r="907">
          <cell r="A907" t="str">
            <v>ORD_003267</v>
          </cell>
        </row>
        <row r="908">
          <cell r="A908" t="str">
            <v>ORD_000563</v>
          </cell>
        </row>
        <row r="909">
          <cell r="A909" t="str">
            <v>ORD_004745</v>
          </cell>
        </row>
        <row r="910">
          <cell r="A910" t="str">
            <v>ORD_003021</v>
          </cell>
        </row>
        <row r="911">
          <cell r="A911" t="str">
            <v>ORD_004588</v>
          </cell>
        </row>
        <row r="912">
          <cell r="A912" t="str">
            <v>ORD_002361</v>
          </cell>
        </row>
        <row r="913">
          <cell r="A913" t="str">
            <v>ORD_004175</v>
          </cell>
        </row>
        <row r="914">
          <cell r="A914" t="str">
            <v>ORD_000874</v>
          </cell>
        </row>
        <row r="915">
          <cell r="A915" t="str">
            <v>ORD_004382</v>
          </cell>
        </row>
        <row r="916">
          <cell r="A916" t="str">
            <v>ORD_002811</v>
          </cell>
        </row>
        <row r="917">
          <cell r="A917" t="str">
            <v>ORD_000372</v>
          </cell>
        </row>
        <row r="918">
          <cell r="A918" t="str">
            <v>ORD_001662</v>
          </cell>
        </row>
        <row r="919">
          <cell r="A919" t="str">
            <v>ORD_000253</v>
          </cell>
        </row>
        <row r="920">
          <cell r="A920" t="str">
            <v>ORD_004952</v>
          </cell>
        </row>
        <row r="921">
          <cell r="A921" t="str">
            <v>ORD_001248</v>
          </cell>
        </row>
        <row r="922">
          <cell r="A922" t="str">
            <v>ORD_003380</v>
          </cell>
        </row>
        <row r="923">
          <cell r="A923" t="str">
            <v>ORD_004526</v>
          </cell>
        </row>
        <row r="924">
          <cell r="A924" t="str">
            <v>ORD_001526</v>
          </cell>
        </row>
        <row r="925">
          <cell r="A925" t="str">
            <v>ORD_000364</v>
          </cell>
        </row>
        <row r="926">
          <cell r="A926" t="str">
            <v>ORD_000943</v>
          </cell>
        </row>
        <row r="927">
          <cell r="A927" t="str">
            <v>ORD_004099</v>
          </cell>
        </row>
        <row r="928">
          <cell r="A928" t="str">
            <v>ORD_004754</v>
          </cell>
        </row>
        <row r="929">
          <cell r="A929" t="str">
            <v>ORD_004279</v>
          </cell>
        </row>
        <row r="930">
          <cell r="A930" t="str">
            <v>ORD_004309</v>
          </cell>
        </row>
        <row r="931">
          <cell r="A931" t="str">
            <v>ORD_002639</v>
          </cell>
        </row>
        <row r="932">
          <cell r="A932" t="str">
            <v>ORD_004784</v>
          </cell>
        </row>
        <row r="933">
          <cell r="A933" t="str">
            <v>ORD_003970</v>
          </cell>
        </row>
        <row r="934">
          <cell r="A934" t="str">
            <v>ORD_003703</v>
          </cell>
        </row>
        <row r="935">
          <cell r="A935" t="str">
            <v>ORD_000710</v>
          </cell>
        </row>
        <row r="936">
          <cell r="A936" t="str">
            <v>ORD_004397</v>
          </cell>
        </row>
        <row r="937">
          <cell r="A937" t="str">
            <v>ORD_004322</v>
          </cell>
        </row>
        <row r="938">
          <cell r="A938" t="str">
            <v>ORD_003959</v>
          </cell>
        </row>
        <row r="939">
          <cell r="A939" t="str">
            <v>ORD_002144</v>
          </cell>
        </row>
        <row r="940">
          <cell r="A940" t="str">
            <v>ORD_003699</v>
          </cell>
        </row>
        <row r="941">
          <cell r="A941" t="str">
            <v>ORD_003962</v>
          </cell>
        </row>
        <row r="942">
          <cell r="A942" t="str">
            <v>ORD_002834</v>
          </cell>
        </row>
        <row r="943">
          <cell r="A943" t="str">
            <v>ORD_002119</v>
          </cell>
        </row>
        <row r="944">
          <cell r="A944" t="str">
            <v>ORD_003805</v>
          </cell>
        </row>
        <row r="945">
          <cell r="A945" t="str">
            <v>ORD_003066</v>
          </cell>
        </row>
        <row r="946">
          <cell r="A946" t="str">
            <v>ORD_000106</v>
          </cell>
        </row>
        <row r="947">
          <cell r="A947" t="str">
            <v>ORD_002838</v>
          </cell>
        </row>
        <row r="948">
          <cell r="A948" t="str">
            <v>ORD_001546</v>
          </cell>
        </row>
        <row r="949">
          <cell r="A949" t="str">
            <v>ORD_004668</v>
          </cell>
        </row>
        <row r="950">
          <cell r="A950" t="str">
            <v>ORD_004243</v>
          </cell>
        </row>
        <row r="951">
          <cell r="A951" t="str">
            <v>ORD_004277</v>
          </cell>
        </row>
        <row r="952">
          <cell r="A952" t="str">
            <v>ORD_002165</v>
          </cell>
        </row>
        <row r="953">
          <cell r="A953" t="str">
            <v>ORD_002248</v>
          </cell>
        </row>
        <row r="954">
          <cell r="A954" t="str">
            <v>ORD_002725</v>
          </cell>
        </row>
        <row r="955">
          <cell r="A955" t="str">
            <v>ORD_001207</v>
          </cell>
        </row>
        <row r="956">
          <cell r="A956" t="str">
            <v>ORD_003112</v>
          </cell>
        </row>
        <row r="957">
          <cell r="A957" t="str">
            <v>ORD_004738</v>
          </cell>
        </row>
        <row r="958">
          <cell r="A958" t="str">
            <v>ORD_001816</v>
          </cell>
        </row>
        <row r="959">
          <cell r="A959" t="str">
            <v>ORD_002084</v>
          </cell>
        </row>
        <row r="960">
          <cell r="A960" t="str">
            <v>ORD_000683</v>
          </cell>
        </row>
        <row r="961">
          <cell r="A961" t="str">
            <v>ORD_004994</v>
          </cell>
        </row>
        <row r="962">
          <cell r="A962" t="str">
            <v>ORD_001830</v>
          </cell>
        </row>
        <row r="963">
          <cell r="A963" t="str">
            <v>ORD_002747</v>
          </cell>
        </row>
        <row r="964">
          <cell r="A964" t="str">
            <v>ORD_001651</v>
          </cell>
        </row>
        <row r="965">
          <cell r="A965" t="str">
            <v>ORD_004179</v>
          </cell>
        </row>
        <row r="966">
          <cell r="A966" t="str">
            <v>ORD_002557</v>
          </cell>
        </row>
        <row r="967">
          <cell r="A967" t="str">
            <v>ORD_001293</v>
          </cell>
        </row>
        <row r="968">
          <cell r="A968" t="str">
            <v>ORD_001547</v>
          </cell>
        </row>
        <row r="969">
          <cell r="A969" t="str">
            <v>ORD_003545</v>
          </cell>
        </row>
        <row r="970">
          <cell r="A970" t="str">
            <v>ORD_003231</v>
          </cell>
        </row>
        <row r="971">
          <cell r="A971" t="str">
            <v>ORD_003283</v>
          </cell>
        </row>
        <row r="972">
          <cell r="A972" t="str">
            <v>ORD_002172</v>
          </cell>
        </row>
        <row r="973">
          <cell r="A973" t="str">
            <v>ORD_004016</v>
          </cell>
        </row>
        <row r="974">
          <cell r="A974" t="str">
            <v>ORD_003234</v>
          </cell>
        </row>
        <row r="975">
          <cell r="A975" t="str">
            <v>ORD_001005</v>
          </cell>
        </row>
        <row r="976">
          <cell r="A976" t="str">
            <v>ORD_000566</v>
          </cell>
        </row>
        <row r="977">
          <cell r="A977" t="str">
            <v>ORD_000759</v>
          </cell>
        </row>
        <row r="978">
          <cell r="A978" t="str">
            <v>ORD_003762</v>
          </cell>
        </row>
        <row r="979">
          <cell r="A979" t="str">
            <v>ORD_003833</v>
          </cell>
        </row>
        <row r="980">
          <cell r="A980" t="str">
            <v>ORD_000623</v>
          </cell>
        </row>
        <row r="981">
          <cell r="A981" t="str">
            <v>ORD_001125</v>
          </cell>
        </row>
        <row r="982">
          <cell r="A982" t="str">
            <v>ORD_000569</v>
          </cell>
        </row>
        <row r="983">
          <cell r="A983" t="str">
            <v>ORD_003454</v>
          </cell>
        </row>
        <row r="984">
          <cell r="A984" t="str">
            <v>ORD_004808</v>
          </cell>
        </row>
        <row r="985">
          <cell r="A985" t="str">
            <v>ORD_004832</v>
          </cell>
        </row>
        <row r="986">
          <cell r="A986" t="str">
            <v>ORD_000205</v>
          </cell>
        </row>
        <row r="987">
          <cell r="A987" t="str">
            <v>ORD_001545</v>
          </cell>
        </row>
        <row r="988">
          <cell r="A988" t="str">
            <v>ORD_003430</v>
          </cell>
        </row>
        <row r="989">
          <cell r="A989" t="str">
            <v>ORD_002355</v>
          </cell>
        </row>
        <row r="990">
          <cell r="A990" t="str">
            <v>ORD_001299</v>
          </cell>
        </row>
        <row r="991">
          <cell r="A991" t="str">
            <v>ORD_004039</v>
          </cell>
        </row>
        <row r="992">
          <cell r="A992" t="str">
            <v>ORD_002625</v>
          </cell>
        </row>
        <row r="993">
          <cell r="A993" t="str">
            <v>ORD_002324</v>
          </cell>
        </row>
        <row r="994">
          <cell r="A994" t="str">
            <v>ORD_002004</v>
          </cell>
        </row>
        <row r="995">
          <cell r="A995" t="str">
            <v>ORD_001996</v>
          </cell>
        </row>
        <row r="996">
          <cell r="A996" t="str">
            <v>ORD_004259</v>
          </cell>
        </row>
        <row r="997">
          <cell r="A997" t="str">
            <v>ORD_002565</v>
          </cell>
        </row>
        <row r="998">
          <cell r="A998" t="str">
            <v>ORD_000892</v>
          </cell>
        </row>
        <row r="999">
          <cell r="A999" t="str">
            <v>ORD_002799</v>
          </cell>
        </row>
        <row r="1000">
          <cell r="A1000" t="str">
            <v>ORD_000343</v>
          </cell>
        </row>
        <row r="1001">
          <cell r="A1001" t="str">
            <v>ORD_001040</v>
          </cell>
        </row>
        <row r="1002">
          <cell r="A1002" t="str">
            <v>ORD_003296</v>
          </cell>
        </row>
        <row r="1003">
          <cell r="A1003" t="str">
            <v>ORD_004190</v>
          </cell>
        </row>
        <row r="1004">
          <cell r="A1004" t="str">
            <v>ORD_001107</v>
          </cell>
        </row>
        <row r="1005">
          <cell r="A1005" t="str">
            <v>ORD_001151</v>
          </cell>
        </row>
        <row r="1006">
          <cell r="A1006" t="str">
            <v>ORD_003708</v>
          </cell>
        </row>
        <row r="1007">
          <cell r="A1007" t="str">
            <v>ORD_003565</v>
          </cell>
        </row>
        <row r="1008">
          <cell r="A1008" t="str">
            <v>ORD_002609</v>
          </cell>
        </row>
        <row r="1009">
          <cell r="A1009" t="str">
            <v>ORD_004191</v>
          </cell>
        </row>
        <row r="1010">
          <cell r="A1010" t="str">
            <v>ORD_002703</v>
          </cell>
        </row>
        <row r="1011">
          <cell r="A1011" t="str">
            <v>ORD_004271</v>
          </cell>
        </row>
        <row r="1012">
          <cell r="A1012" t="str">
            <v>ORD_004219</v>
          </cell>
        </row>
        <row r="1013">
          <cell r="A1013" t="str">
            <v>ORD_003893</v>
          </cell>
        </row>
        <row r="1014">
          <cell r="A1014" t="str">
            <v>ORD_003273</v>
          </cell>
        </row>
        <row r="1015">
          <cell r="A1015" t="str">
            <v>ORD_003240</v>
          </cell>
        </row>
        <row r="1016">
          <cell r="A1016" t="str">
            <v>ORD_003929</v>
          </cell>
        </row>
        <row r="1017">
          <cell r="A1017" t="str">
            <v>ORD_000412</v>
          </cell>
        </row>
        <row r="1018">
          <cell r="A1018" t="str">
            <v>ORD_002512</v>
          </cell>
        </row>
        <row r="1019">
          <cell r="A1019" t="str">
            <v>ORD_004283</v>
          </cell>
        </row>
        <row r="1020">
          <cell r="A1020" t="str">
            <v>ORD_003480</v>
          </cell>
        </row>
        <row r="1021">
          <cell r="A1021" t="str">
            <v>ORD_001344</v>
          </cell>
        </row>
        <row r="1022">
          <cell r="A1022" t="str">
            <v>ORD_001441</v>
          </cell>
        </row>
        <row r="1023">
          <cell r="A1023" t="str">
            <v>ORD_004638</v>
          </cell>
        </row>
        <row r="1024">
          <cell r="A1024" t="str">
            <v>ORD_002232</v>
          </cell>
        </row>
        <row r="1025">
          <cell r="A1025" t="str">
            <v>ORD_003609</v>
          </cell>
        </row>
        <row r="1026">
          <cell r="A1026" t="str">
            <v>ORD_002590</v>
          </cell>
        </row>
        <row r="1027">
          <cell r="A1027" t="str">
            <v>ORD_001773</v>
          </cell>
        </row>
        <row r="1028">
          <cell r="A1028" t="str">
            <v>ORD_003624</v>
          </cell>
        </row>
        <row r="1029">
          <cell r="A1029" t="str">
            <v>ORD_000313</v>
          </cell>
        </row>
        <row r="1030">
          <cell r="A1030" t="str">
            <v>ORD_000640</v>
          </cell>
        </row>
        <row r="1031">
          <cell r="A1031" t="str">
            <v>ORD_001622</v>
          </cell>
        </row>
        <row r="1032">
          <cell r="A1032" t="str">
            <v>ORD_002927</v>
          </cell>
        </row>
        <row r="1033">
          <cell r="A1033" t="str">
            <v>ORD_000390</v>
          </cell>
        </row>
        <row r="1034">
          <cell r="A1034" t="str">
            <v>ORD_000338</v>
          </cell>
        </row>
        <row r="1035">
          <cell r="A1035" t="str">
            <v>ORD_001400</v>
          </cell>
        </row>
        <row r="1036">
          <cell r="A1036" t="str">
            <v>ORD_003082</v>
          </cell>
        </row>
        <row r="1037">
          <cell r="A1037" t="str">
            <v>ORD_003599</v>
          </cell>
        </row>
        <row r="1038">
          <cell r="A1038" t="str">
            <v>ORD_001056</v>
          </cell>
        </row>
        <row r="1039">
          <cell r="A1039" t="str">
            <v>ORD_000075</v>
          </cell>
        </row>
        <row r="1040">
          <cell r="A1040" t="str">
            <v>ORD_003129</v>
          </cell>
        </row>
        <row r="1041">
          <cell r="A1041" t="str">
            <v>ORD_000603</v>
          </cell>
        </row>
        <row r="1042">
          <cell r="A1042" t="str">
            <v>ORD_001100</v>
          </cell>
        </row>
        <row r="1043">
          <cell r="A1043" t="str">
            <v>ORD_001108</v>
          </cell>
        </row>
        <row r="1044">
          <cell r="A1044" t="str">
            <v>ORD_003282</v>
          </cell>
        </row>
        <row r="1045">
          <cell r="A1045" t="str">
            <v>ORD_003768</v>
          </cell>
        </row>
        <row r="1046">
          <cell r="A1046" t="str">
            <v>ORD_000337</v>
          </cell>
        </row>
        <row r="1047">
          <cell r="A1047" t="str">
            <v>ORD_003263</v>
          </cell>
        </row>
        <row r="1048">
          <cell r="A1048" t="str">
            <v>ORD_000677</v>
          </cell>
        </row>
        <row r="1049">
          <cell r="A1049" t="str">
            <v>ORD_002329</v>
          </cell>
        </row>
        <row r="1050">
          <cell r="A1050" t="str">
            <v>ORD_004294</v>
          </cell>
        </row>
        <row r="1051">
          <cell r="A1051" t="str">
            <v>ORD_000741</v>
          </cell>
        </row>
        <row r="1052">
          <cell r="A1052" t="str">
            <v>ORD_002973</v>
          </cell>
        </row>
        <row r="1053">
          <cell r="A1053" t="str">
            <v>ORD_002385</v>
          </cell>
        </row>
        <row r="1054">
          <cell r="A1054" t="str">
            <v>ORD_002151</v>
          </cell>
        </row>
        <row r="1055">
          <cell r="A1055" t="str">
            <v>ORD_001121</v>
          </cell>
        </row>
        <row r="1056">
          <cell r="A1056" t="str">
            <v>ORD_004866</v>
          </cell>
        </row>
        <row r="1057">
          <cell r="A1057" t="str">
            <v>ORD_004222</v>
          </cell>
        </row>
        <row r="1058">
          <cell r="A1058" t="str">
            <v>ORD_000654</v>
          </cell>
        </row>
        <row r="1059">
          <cell r="A1059" t="str">
            <v>ORD_002822</v>
          </cell>
        </row>
        <row r="1060">
          <cell r="A1060" t="str">
            <v>ORD_003678</v>
          </cell>
        </row>
        <row r="1061">
          <cell r="A1061" t="str">
            <v>ORD_003986</v>
          </cell>
        </row>
        <row r="1062">
          <cell r="A1062" t="str">
            <v>ORD_001584</v>
          </cell>
        </row>
        <row r="1063">
          <cell r="A1063" t="str">
            <v>ORD_004199</v>
          </cell>
        </row>
        <row r="1064">
          <cell r="A1064" t="str">
            <v>ORD_000727</v>
          </cell>
        </row>
        <row r="1065">
          <cell r="A1065" t="str">
            <v>ORD_000215</v>
          </cell>
        </row>
        <row r="1066">
          <cell r="A1066" t="str">
            <v>ORD_001236</v>
          </cell>
        </row>
        <row r="1067">
          <cell r="A1067" t="str">
            <v>ORD_000962</v>
          </cell>
        </row>
        <row r="1068">
          <cell r="A1068" t="str">
            <v>ORD_000026</v>
          </cell>
        </row>
        <row r="1069">
          <cell r="A1069" t="str">
            <v>ORD_002164</v>
          </cell>
        </row>
        <row r="1070">
          <cell r="A1070" t="str">
            <v>ORD_002999</v>
          </cell>
        </row>
        <row r="1071">
          <cell r="A1071" t="str">
            <v>ORD_002719</v>
          </cell>
        </row>
        <row r="1072">
          <cell r="A1072" t="str">
            <v>ORD_001652</v>
          </cell>
        </row>
        <row r="1073">
          <cell r="A1073" t="str">
            <v>ORD_004013</v>
          </cell>
        </row>
        <row r="1074">
          <cell r="A1074" t="str">
            <v>ORD_004852</v>
          </cell>
        </row>
        <row r="1075">
          <cell r="A1075" t="str">
            <v>ORD_000926</v>
          </cell>
        </row>
        <row r="1076">
          <cell r="A1076" t="str">
            <v>ORD_002577</v>
          </cell>
        </row>
        <row r="1077">
          <cell r="A1077" t="str">
            <v>ORD_003214</v>
          </cell>
        </row>
        <row r="1078">
          <cell r="A1078" t="str">
            <v>ORD_004036</v>
          </cell>
        </row>
        <row r="1079">
          <cell r="A1079" t="str">
            <v>ORD_000591</v>
          </cell>
        </row>
        <row r="1080">
          <cell r="A1080" t="str">
            <v>ORD_002400</v>
          </cell>
        </row>
        <row r="1081">
          <cell r="A1081" t="str">
            <v>ORD_000264</v>
          </cell>
        </row>
        <row r="1082">
          <cell r="A1082" t="str">
            <v>ORD_002753</v>
          </cell>
        </row>
        <row r="1083">
          <cell r="A1083" t="str">
            <v>ORD_003174</v>
          </cell>
        </row>
        <row r="1084">
          <cell r="A1084" t="str">
            <v>ORD_004944</v>
          </cell>
        </row>
        <row r="1085">
          <cell r="A1085" t="str">
            <v>ORD_004509</v>
          </cell>
        </row>
        <row r="1086">
          <cell r="A1086" t="str">
            <v>ORD_002574</v>
          </cell>
        </row>
        <row r="1087">
          <cell r="A1087" t="str">
            <v>ORD_003376</v>
          </cell>
        </row>
        <row r="1088">
          <cell r="A1088" t="str">
            <v>ORD_002070</v>
          </cell>
        </row>
        <row r="1089">
          <cell r="A1089" t="str">
            <v>ORD_000498</v>
          </cell>
        </row>
        <row r="1090">
          <cell r="A1090" t="str">
            <v>ORD_000435</v>
          </cell>
        </row>
        <row r="1091">
          <cell r="A1091" t="str">
            <v>ORD_003634</v>
          </cell>
        </row>
        <row r="1092">
          <cell r="A1092" t="str">
            <v>ORD_003588</v>
          </cell>
        </row>
        <row r="1093">
          <cell r="A1093" t="str">
            <v>ORD_001354</v>
          </cell>
        </row>
        <row r="1094">
          <cell r="A1094" t="str">
            <v>ORD_003090</v>
          </cell>
        </row>
        <row r="1095">
          <cell r="A1095" t="str">
            <v>ORD_004704</v>
          </cell>
        </row>
        <row r="1096">
          <cell r="A1096" t="str">
            <v>ORD_002886</v>
          </cell>
        </row>
        <row r="1097">
          <cell r="A1097" t="str">
            <v>ORD_003659</v>
          </cell>
        </row>
        <row r="1098">
          <cell r="A1098" t="str">
            <v>ORD_001792</v>
          </cell>
        </row>
        <row r="1099">
          <cell r="A1099" t="str">
            <v>ORD_004207</v>
          </cell>
        </row>
        <row r="1100">
          <cell r="A1100" t="str">
            <v>ORD_003387</v>
          </cell>
        </row>
        <row r="1101">
          <cell r="A1101" t="str">
            <v>ORD_003493</v>
          </cell>
        </row>
        <row r="1102">
          <cell r="A1102" t="str">
            <v>ORD_000832</v>
          </cell>
        </row>
        <row r="1103">
          <cell r="A1103" t="str">
            <v>ORD_004151</v>
          </cell>
        </row>
        <row r="1104">
          <cell r="A1104" t="str">
            <v>ORD_004388</v>
          </cell>
        </row>
        <row r="1105">
          <cell r="A1105" t="str">
            <v>ORD_004386</v>
          </cell>
        </row>
        <row r="1106">
          <cell r="A1106" t="str">
            <v>ORD_004894</v>
          </cell>
        </row>
        <row r="1107">
          <cell r="A1107" t="str">
            <v>ORD_004634</v>
          </cell>
        </row>
        <row r="1108">
          <cell r="A1108" t="str">
            <v>ORD_003104</v>
          </cell>
        </row>
        <row r="1109">
          <cell r="A1109" t="str">
            <v>ORD_003618</v>
          </cell>
        </row>
        <row r="1110">
          <cell r="A1110" t="str">
            <v>ORD_004961</v>
          </cell>
        </row>
        <row r="1111">
          <cell r="A1111" t="str">
            <v>ORD_001199</v>
          </cell>
        </row>
        <row r="1112">
          <cell r="A1112" t="str">
            <v>ORD_003837</v>
          </cell>
        </row>
        <row r="1113">
          <cell r="A1113" t="str">
            <v>ORD_001797</v>
          </cell>
        </row>
        <row r="1114">
          <cell r="A1114" t="str">
            <v>ORD_003139</v>
          </cell>
        </row>
        <row r="1115">
          <cell r="A1115" t="str">
            <v>ORD_000495</v>
          </cell>
        </row>
        <row r="1116">
          <cell r="A1116" t="str">
            <v>ORD_000097</v>
          </cell>
        </row>
        <row r="1117">
          <cell r="A1117" t="str">
            <v>ORD_000693</v>
          </cell>
        </row>
        <row r="1118">
          <cell r="A1118" t="str">
            <v>ORD_004371</v>
          </cell>
        </row>
        <row r="1119">
          <cell r="A1119" t="str">
            <v>ORD_002857</v>
          </cell>
        </row>
        <row r="1120">
          <cell r="A1120" t="str">
            <v>ORD_000548</v>
          </cell>
        </row>
        <row r="1121">
          <cell r="A1121" t="str">
            <v>ORD_004047</v>
          </cell>
        </row>
        <row r="1122">
          <cell r="A1122" t="str">
            <v>ORD_000132</v>
          </cell>
        </row>
        <row r="1123">
          <cell r="A1123" t="str">
            <v>ORD_001962</v>
          </cell>
        </row>
        <row r="1124">
          <cell r="A1124" t="str">
            <v>ORD_003623</v>
          </cell>
        </row>
        <row r="1125">
          <cell r="A1125" t="str">
            <v>ORD_000259</v>
          </cell>
        </row>
        <row r="1126">
          <cell r="A1126" t="str">
            <v>ORD_001780</v>
          </cell>
        </row>
        <row r="1127">
          <cell r="A1127" t="str">
            <v>ORD_000897</v>
          </cell>
        </row>
        <row r="1128">
          <cell r="A1128" t="str">
            <v>ORD_001042</v>
          </cell>
        </row>
        <row r="1129">
          <cell r="A1129" t="str">
            <v>ORD_001201</v>
          </cell>
        </row>
        <row r="1130">
          <cell r="A1130" t="str">
            <v>ORD_000137</v>
          </cell>
        </row>
        <row r="1131">
          <cell r="A1131" t="str">
            <v>ORD_004477</v>
          </cell>
        </row>
        <row r="1132">
          <cell r="A1132" t="str">
            <v>ORD_002072</v>
          </cell>
        </row>
        <row r="1133">
          <cell r="A1133" t="str">
            <v>ORD_003819</v>
          </cell>
        </row>
        <row r="1134">
          <cell r="A1134" t="str">
            <v>ORD_004541</v>
          </cell>
        </row>
        <row r="1135">
          <cell r="A1135" t="str">
            <v>ORD_003173</v>
          </cell>
        </row>
        <row r="1136">
          <cell r="A1136" t="str">
            <v>ORD_000457</v>
          </cell>
        </row>
        <row r="1137">
          <cell r="A1137" t="str">
            <v>ORD_000823</v>
          </cell>
        </row>
        <row r="1138">
          <cell r="A1138" t="str">
            <v>ORD_000704</v>
          </cell>
        </row>
        <row r="1139">
          <cell r="A1139" t="str">
            <v>ORD_004592</v>
          </cell>
        </row>
        <row r="1140">
          <cell r="A1140" t="str">
            <v>ORD_002714</v>
          </cell>
        </row>
        <row r="1141">
          <cell r="A1141" t="str">
            <v>ORD_000301</v>
          </cell>
        </row>
        <row r="1142">
          <cell r="A1142" t="str">
            <v>ORD_002325</v>
          </cell>
        </row>
        <row r="1143">
          <cell r="A1143" t="str">
            <v>ORD_004206</v>
          </cell>
        </row>
        <row r="1144">
          <cell r="A1144" t="str">
            <v>ORD_000368</v>
          </cell>
        </row>
        <row r="1145">
          <cell r="A1145" t="str">
            <v>ORD_002018</v>
          </cell>
        </row>
        <row r="1146">
          <cell r="A1146" t="str">
            <v>ORD_002049</v>
          </cell>
        </row>
        <row r="1147">
          <cell r="A1147" t="str">
            <v>ORD_004678</v>
          </cell>
        </row>
        <row r="1148">
          <cell r="A1148" t="str">
            <v>ORD_001799</v>
          </cell>
        </row>
        <row r="1149">
          <cell r="A1149" t="str">
            <v>ORD_004978</v>
          </cell>
        </row>
        <row r="1150">
          <cell r="A1150" t="str">
            <v>ORD_001109</v>
          </cell>
        </row>
        <row r="1151">
          <cell r="A1151" t="str">
            <v>ORD_002943</v>
          </cell>
        </row>
        <row r="1152">
          <cell r="A1152" t="str">
            <v>ORD_001905</v>
          </cell>
        </row>
        <row r="1153">
          <cell r="A1153" t="str">
            <v>ORD_002470</v>
          </cell>
        </row>
        <row r="1154">
          <cell r="A1154" t="str">
            <v>ORD_000047</v>
          </cell>
        </row>
        <row r="1155">
          <cell r="A1155" t="str">
            <v>ORD_000937</v>
          </cell>
        </row>
        <row r="1156">
          <cell r="A1156" t="str">
            <v>ORD_003731</v>
          </cell>
        </row>
        <row r="1157">
          <cell r="A1157" t="str">
            <v>ORD_004348</v>
          </cell>
        </row>
        <row r="1158">
          <cell r="A1158" t="str">
            <v>ORD_000020</v>
          </cell>
        </row>
        <row r="1159">
          <cell r="A1159" t="str">
            <v>ORD_004601</v>
          </cell>
        </row>
        <row r="1160">
          <cell r="A1160" t="str">
            <v>ORD_003355</v>
          </cell>
        </row>
        <row r="1161">
          <cell r="A1161" t="str">
            <v>ORD_003511</v>
          </cell>
        </row>
        <row r="1162">
          <cell r="A1162" t="str">
            <v>ORD_000392</v>
          </cell>
        </row>
        <row r="1163">
          <cell r="A1163" t="str">
            <v>ORD_003616</v>
          </cell>
        </row>
        <row r="1164">
          <cell r="A1164" t="str">
            <v>ORD_003415</v>
          </cell>
        </row>
        <row r="1165">
          <cell r="A1165" t="str">
            <v>ORD_001758</v>
          </cell>
        </row>
        <row r="1166">
          <cell r="A1166" t="str">
            <v>ORD_004474</v>
          </cell>
        </row>
        <row r="1167">
          <cell r="A1167" t="str">
            <v>ORD_000284</v>
          </cell>
        </row>
        <row r="1168">
          <cell r="A1168" t="str">
            <v>ORD_004315</v>
          </cell>
        </row>
        <row r="1169">
          <cell r="A1169" t="str">
            <v>ORD_000860</v>
          </cell>
        </row>
        <row r="1170">
          <cell r="A1170" t="str">
            <v>ORD_000758</v>
          </cell>
        </row>
        <row r="1171">
          <cell r="A1171" t="str">
            <v>ORD_000032</v>
          </cell>
        </row>
        <row r="1172">
          <cell r="A1172" t="str">
            <v>ORD_003338</v>
          </cell>
        </row>
        <row r="1173">
          <cell r="A1173" t="str">
            <v>ORD_000862</v>
          </cell>
        </row>
        <row r="1174">
          <cell r="A1174" t="str">
            <v>ORD_000157</v>
          </cell>
        </row>
        <row r="1175">
          <cell r="A1175" t="str">
            <v>ORD_002065</v>
          </cell>
        </row>
        <row r="1176">
          <cell r="A1176" t="str">
            <v>ORD_001620</v>
          </cell>
        </row>
        <row r="1177">
          <cell r="A1177" t="str">
            <v>ORD_000117</v>
          </cell>
        </row>
        <row r="1178">
          <cell r="A1178" t="str">
            <v>ORD_003666</v>
          </cell>
        </row>
        <row r="1179">
          <cell r="A1179" t="str">
            <v>ORD_001714</v>
          </cell>
        </row>
        <row r="1180">
          <cell r="A1180" t="str">
            <v>ORD_003337</v>
          </cell>
        </row>
        <row r="1181">
          <cell r="A1181" t="str">
            <v>ORD_002429</v>
          </cell>
        </row>
        <row r="1182">
          <cell r="A1182" t="str">
            <v>ORD_002141</v>
          </cell>
        </row>
        <row r="1183">
          <cell r="A1183" t="str">
            <v>ORD_001075</v>
          </cell>
        </row>
        <row r="1184">
          <cell r="A1184" t="str">
            <v>ORD_001849</v>
          </cell>
        </row>
        <row r="1185">
          <cell r="A1185" t="str">
            <v>ORD_003536</v>
          </cell>
        </row>
        <row r="1186">
          <cell r="A1186" t="str">
            <v>ORD_000590</v>
          </cell>
        </row>
        <row r="1187">
          <cell r="A1187" t="str">
            <v>ORD_004116</v>
          </cell>
        </row>
        <row r="1188">
          <cell r="A1188" t="str">
            <v>ORD_004124</v>
          </cell>
        </row>
        <row r="1189">
          <cell r="A1189" t="str">
            <v>ORD_000917</v>
          </cell>
        </row>
        <row r="1190">
          <cell r="A1190" t="str">
            <v>ORD_002443</v>
          </cell>
        </row>
        <row r="1191">
          <cell r="A1191" t="str">
            <v>ORD_000007</v>
          </cell>
        </row>
        <row r="1192">
          <cell r="A1192" t="str">
            <v>ORD_004817</v>
          </cell>
        </row>
        <row r="1193">
          <cell r="A1193" t="str">
            <v>ORD_000600</v>
          </cell>
        </row>
        <row r="1194">
          <cell r="A1194" t="str">
            <v>ORD_001966</v>
          </cell>
        </row>
        <row r="1195">
          <cell r="A1195" t="str">
            <v>ORD_003460</v>
          </cell>
        </row>
        <row r="1196">
          <cell r="A1196" t="str">
            <v>ORD_004833</v>
          </cell>
        </row>
        <row r="1197">
          <cell r="A1197" t="str">
            <v>ORD_002751</v>
          </cell>
        </row>
        <row r="1198">
          <cell r="A1198" t="str">
            <v>ORD_001377</v>
          </cell>
        </row>
        <row r="1199">
          <cell r="A1199" t="str">
            <v>ORD_004546</v>
          </cell>
        </row>
        <row r="1200">
          <cell r="A1200" t="str">
            <v>ORD_000276</v>
          </cell>
        </row>
        <row r="1201">
          <cell r="A1201" t="str">
            <v>ORD_001240</v>
          </cell>
        </row>
        <row r="1202">
          <cell r="A1202" t="str">
            <v>ORD_000725</v>
          </cell>
        </row>
        <row r="1203">
          <cell r="A1203" t="str">
            <v>ORD_001977</v>
          </cell>
        </row>
        <row r="1204">
          <cell r="A1204" t="str">
            <v>ORD_003134</v>
          </cell>
        </row>
        <row r="1205">
          <cell r="A1205" t="str">
            <v>ORD_003784</v>
          </cell>
        </row>
        <row r="1206">
          <cell r="A1206" t="str">
            <v>ORD_003191</v>
          </cell>
        </row>
        <row r="1207">
          <cell r="A1207" t="str">
            <v>ORD_002815</v>
          </cell>
        </row>
        <row r="1208">
          <cell r="A1208" t="str">
            <v>ORD_001677</v>
          </cell>
        </row>
        <row r="1209">
          <cell r="A1209" t="str">
            <v>ORD_004319</v>
          </cell>
        </row>
        <row r="1210">
          <cell r="A1210" t="str">
            <v>ORD_001181</v>
          </cell>
        </row>
        <row r="1211">
          <cell r="A1211" t="str">
            <v>ORD_002330</v>
          </cell>
        </row>
        <row r="1212">
          <cell r="A1212" t="str">
            <v>ORD_003571</v>
          </cell>
        </row>
        <row r="1213">
          <cell r="A1213" t="str">
            <v>ORD_003061</v>
          </cell>
        </row>
        <row r="1214">
          <cell r="A1214" t="str">
            <v>ORD_003888</v>
          </cell>
        </row>
        <row r="1215">
          <cell r="A1215" t="str">
            <v>ORD_001908</v>
          </cell>
        </row>
        <row r="1216">
          <cell r="A1216" t="str">
            <v>ORD_000599</v>
          </cell>
        </row>
        <row r="1217">
          <cell r="A1217" t="str">
            <v>ORD_000080</v>
          </cell>
        </row>
        <row r="1218">
          <cell r="A1218" t="str">
            <v>ORD_001515</v>
          </cell>
        </row>
        <row r="1219">
          <cell r="A1219" t="str">
            <v>ORD_004794</v>
          </cell>
        </row>
        <row r="1220">
          <cell r="A1220" t="str">
            <v>ORD_001123</v>
          </cell>
        </row>
        <row r="1221">
          <cell r="A1221" t="str">
            <v>ORD_000282</v>
          </cell>
        </row>
        <row r="1222">
          <cell r="A1222" t="str">
            <v>ORD_001278</v>
          </cell>
        </row>
        <row r="1223">
          <cell r="A1223" t="str">
            <v>ORD_000124</v>
          </cell>
        </row>
        <row r="1224">
          <cell r="A1224" t="str">
            <v>ORD_004562</v>
          </cell>
        </row>
        <row r="1225">
          <cell r="A1225" t="str">
            <v>ORD_002089</v>
          </cell>
        </row>
        <row r="1226">
          <cell r="A1226" t="str">
            <v>ORD_000290</v>
          </cell>
        </row>
        <row r="1227">
          <cell r="A1227" t="str">
            <v>ORD_003680</v>
          </cell>
        </row>
        <row r="1228">
          <cell r="A1228" t="str">
            <v>ORD_001616</v>
          </cell>
        </row>
        <row r="1229">
          <cell r="A1229" t="str">
            <v>ORD_003818</v>
          </cell>
        </row>
        <row r="1230">
          <cell r="A1230" t="str">
            <v>ORD_003474</v>
          </cell>
        </row>
        <row r="1231">
          <cell r="A1231" t="str">
            <v>ORD_003871</v>
          </cell>
        </row>
        <row r="1232">
          <cell r="A1232" t="str">
            <v>ORD_004186</v>
          </cell>
        </row>
        <row r="1233">
          <cell r="A1233" t="str">
            <v>ORD_001558</v>
          </cell>
        </row>
        <row r="1234">
          <cell r="A1234" t="str">
            <v>ORD_003225</v>
          </cell>
        </row>
        <row r="1235">
          <cell r="A1235" t="str">
            <v>ORD_001097</v>
          </cell>
        </row>
        <row r="1236">
          <cell r="A1236" t="str">
            <v>ORD_001219</v>
          </cell>
        </row>
        <row r="1237">
          <cell r="A1237" t="str">
            <v>ORD_004905</v>
          </cell>
        </row>
        <row r="1238">
          <cell r="A1238" t="str">
            <v>ORD_003726</v>
          </cell>
        </row>
        <row r="1239">
          <cell r="A1239" t="str">
            <v>ORD_000818</v>
          </cell>
        </row>
        <row r="1240">
          <cell r="A1240" t="str">
            <v>ORD_001446</v>
          </cell>
        </row>
        <row r="1241">
          <cell r="A1241" t="str">
            <v>ORD_003193</v>
          </cell>
        </row>
        <row r="1242">
          <cell r="A1242" t="str">
            <v>ORD_004942</v>
          </cell>
        </row>
        <row r="1243">
          <cell r="A1243" t="str">
            <v>ORD_002377</v>
          </cell>
        </row>
        <row r="1244">
          <cell r="A1244" t="str">
            <v>ORD_001228</v>
          </cell>
        </row>
        <row r="1245">
          <cell r="A1245" t="str">
            <v>ORD_001802</v>
          </cell>
        </row>
        <row r="1246">
          <cell r="A1246" t="str">
            <v>ORD_003509</v>
          </cell>
        </row>
        <row r="1247">
          <cell r="A1247" t="str">
            <v>ORD_004876</v>
          </cell>
        </row>
        <row r="1248">
          <cell r="A1248" t="str">
            <v>ORD_000021</v>
          </cell>
        </row>
        <row r="1249">
          <cell r="A1249" t="str">
            <v>ORD_004534</v>
          </cell>
        </row>
        <row r="1250">
          <cell r="A1250" t="str">
            <v>ORD_001707</v>
          </cell>
        </row>
        <row r="1251">
          <cell r="A1251" t="str">
            <v>ORD_000085</v>
          </cell>
        </row>
        <row r="1252">
          <cell r="A1252" t="str">
            <v>ORD_003519</v>
          </cell>
        </row>
        <row r="1253">
          <cell r="A1253" t="str">
            <v>ORD_001732</v>
          </cell>
        </row>
        <row r="1254">
          <cell r="A1254" t="str">
            <v>ORD_002160</v>
          </cell>
        </row>
        <row r="1255">
          <cell r="A1255" t="str">
            <v>ORD_001511</v>
          </cell>
        </row>
        <row r="1256">
          <cell r="A1256" t="str">
            <v>ORD_000418</v>
          </cell>
        </row>
        <row r="1257">
          <cell r="A1257" t="str">
            <v>ORD_002439</v>
          </cell>
        </row>
        <row r="1258">
          <cell r="A1258" t="str">
            <v>ORD_000810</v>
          </cell>
        </row>
        <row r="1259">
          <cell r="A1259" t="str">
            <v>ORD_002674</v>
          </cell>
        </row>
        <row r="1260">
          <cell r="A1260" t="str">
            <v>ORD_003318</v>
          </cell>
        </row>
        <row r="1261">
          <cell r="A1261" t="str">
            <v>ORD_000722</v>
          </cell>
        </row>
        <row r="1262">
          <cell r="A1262" t="str">
            <v>ORD_003304</v>
          </cell>
        </row>
        <row r="1263">
          <cell r="A1263" t="str">
            <v>ORD_001761</v>
          </cell>
        </row>
        <row r="1264">
          <cell r="A1264" t="str">
            <v>ORD_004928</v>
          </cell>
        </row>
        <row r="1265">
          <cell r="A1265" t="str">
            <v>ORD_004896</v>
          </cell>
        </row>
        <row r="1266">
          <cell r="A1266" t="str">
            <v>ORD_003530</v>
          </cell>
        </row>
        <row r="1267">
          <cell r="A1267" t="str">
            <v>ORD_002756</v>
          </cell>
        </row>
        <row r="1268">
          <cell r="A1268" t="str">
            <v>ORD_000297</v>
          </cell>
        </row>
        <row r="1269">
          <cell r="A1269" t="str">
            <v>ORD_001826</v>
          </cell>
        </row>
        <row r="1270">
          <cell r="A1270" t="str">
            <v>ORD_000363</v>
          </cell>
        </row>
        <row r="1271">
          <cell r="A1271" t="str">
            <v>ORD_002369</v>
          </cell>
        </row>
        <row r="1272">
          <cell r="A1272" t="str">
            <v>ORD_001589</v>
          </cell>
        </row>
        <row r="1273">
          <cell r="A1273" t="str">
            <v>ORD_002481</v>
          </cell>
        </row>
        <row r="1274">
          <cell r="A1274" t="str">
            <v>ORD_004370</v>
          </cell>
        </row>
        <row r="1275">
          <cell r="A1275" t="str">
            <v>ORD_000561</v>
          </cell>
        </row>
        <row r="1276">
          <cell r="A1276" t="str">
            <v>ORD_001206</v>
          </cell>
        </row>
        <row r="1277">
          <cell r="A1277" t="str">
            <v>ORD_003636</v>
          </cell>
        </row>
        <row r="1278">
          <cell r="A1278" t="str">
            <v>ORD_002485</v>
          </cell>
        </row>
        <row r="1279">
          <cell r="A1279" t="str">
            <v>ORD_004256</v>
          </cell>
        </row>
        <row r="1280">
          <cell r="A1280" t="str">
            <v>ORD_000439</v>
          </cell>
        </row>
        <row r="1281">
          <cell r="A1281" t="str">
            <v>ORD_002379</v>
          </cell>
        </row>
        <row r="1282">
          <cell r="A1282" t="str">
            <v>ORD_000804</v>
          </cell>
        </row>
        <row r="1283">
          <cell r="A1283" t="str">
            <v>ORD_001368</v>
          </cell>
        </row>
        <row r="1284">
          <cell r="A1284" t="str">
            <v>ORD_000234</v>
          </cell>
        </row>
        <row r="1285">
          <cell r="A1285" t="str">
            <v>ORD_001443</v>
          </cell>
        </row>
        <row r="1286">
          <cell r="A1286" t="str">
            <v>ORD_004723</v>
          </cell>
        </row>
        <row r="1287">
          <cell r="A1287" t="str">
            <v>ORD_000931</v>
          </cell>
        </row>
        <row r="1288">
          <cell r="A1288" t="str">
            <v>ORD_003186</v>
          </cell>
        </row>
        <row r="1289">
          <cell r="A1289" t="str">
            <v>ORD_004646</v>
          </cell>
        </row>
        <row r="1290">
          <cell r="A1290" t="str">
            <v>ORD_002501</v>
          </cell>
        </row>
        <row r="1291">
          <cell r="A1291" t="str">
            <v>ORD_002509</v>
          </cell>
        </row>
        <row r="1292">
          <cell r="A1292" t="str">
            <v>ORD_004064</v>
          </cell>
        </row>
        <row r="1293">
          <cell r="A1293" t="str">
            <v>ORD_002540</v>
          </cell>
        </row>
        <row r="1294">
          <cell r="A1294" t="str">
            <v>ORD_001554</v>
          </cell>
        </row>
        <row r="1295">
          <cell r="A1295" t="str">
            <v>ORD_004650</v>
          </cell>
        </row>
        <row r="1296">
          <cell r="A1296" t="str">
            <v>ORD_003767</v>
          </cell>
        </row>
        <row r="1297">
          <cell r="A1297" t="str">
            <v>ORD_000236</v>
          </cell>
        </row>
        <row r="1298">
          <cell r="A1298" t="str">
            <v>ORD_001058</v>
          </cell>
        </row>
        <row r="1299">
          <cell r="A1299" t="str">
            <v>ORD_003569</v>
          </cell>
        </row>
        <row r="1300">
          <cell r="A1300" t="str">
            <v>ORD_003849</v>
          </cell>
        </row>
        <row r="1301">
          <cell r="A1301" t="str">
            <v>ORD_001064</v>
          </cell>
        </row>
        <row r="1302">
          <cell r="A1302" t="str">
            <v>ORD_002942</v>
          </cell>
        </row>
        <row r="1303">
          <cell r="A1303" t="str">
            <v>ORD_003492</v>
          </cell>
        </row>
        <row r="1304">
          <cell r="A1304" t="str">
            <v>ORD_002905</v>
          </cell>
        </row>
        <row r="1305">
          <cell r="A1305" t="str">
            <v>ORD_004859</v>
          </cell>
        </row>
        <row r="1306">
          <cell r="A1306" t="str">
            <v>ORD_001078</v>
          </cell>
        </row>
        <row r="1307">
          <cell r="A1307" t="str">
            <v>ORD_002130</v>
          </cell>
        </row>
        <row r="1308">
          <cell r="A1308" t="str">
            <v>ORD_000308</v>
          </cell>
        </row>
        <row r="1309">
          <cell r="A1309" t="str">
            <v>ORD_000968</v>
          </cell>
        </row>
        <row r="1310">
          <cell r="A1310" t="str">
            <v>ORD_000747</v>
          </cell>
        </row>
        <row r="1311">
          <cell r="A1311" t="str">
            <v>ORD_003956</v>
          </cell>
        </row>
        <row r="1312">
          <cell r="A1312" t="str">
            <v>ORD_001788</v>
          </cell>
        </row>
        <row r="1313">
          <cell r="A1313" t="str">
            <v>ORD_004026</v>
          </cell>
        </row>
        <row r="1314">
          <cell r="A1314" t="str">
            <v>ORD_003586</v>
          </cell>
        </row>
        <row r="1315">
          <cell r="A1315" t="str">
            <v>ORD_003782</v>
          </cell>
        </row>
        <row r="1316">
          <cell r="A1316" t="str">
            <v>ORD_001395</v>
          </cell>
        </row>
        <row r="1317">
          <cell r="A1317" t="str">
            <v>ORD_004177</v>
          </cell>
        </row>
        <row r="1318">
          <cell r="A1318" t="str">
            <v>ORD_001028</v>
          </cell>
        </row>
        <row r="1319">
          <cell r="A1319" t="str">
            <v>ORD_003630</v>
          </cell>
        </row>
        <row r="1320">
          <cell r="A1320" t="str">
            <v>ORD_003187</v>
          </cell>
        </row>
        <row r="1321">
          <cell r="A1321" t="str">
            <v>ORD_003077</v>
          </cell>
        </row>
        <row r="1322">
          <cell r="A1322" t="str">
            <v>ORD_002871</v>
          </cell>
        </row>
        <row r="1323">
          <cell r="A1323" t="str">
            <v>ORD_000109</v>
          </cell>
        </row>
        <row r="1324">
          <cell r="A1324" t="str">
            <v>ORD_000731</v>
          </cell>
        </row>
        <row r="1325">
          <cell r="A1325" t="str">
            <v>ORD_000006</v>
          </cell>
        </row>
        <row r="1326">
          <cell r="A1326" t="str">
            <v>ORD_001023</v>
          </cell>
        </row>
        <row r="1327">
          <cell r="A1327" t="str">
            <v>ORD_000464</v>
          </cell>
        </row>
        <row r="1328">
          <cell r="A1328" t="str">
            <v>ORD_003504</v>
          </cell>
        </row>
        <row r="1329">
          <cell r="A1329" t="str">
            <v>ORD_004802</v>
          </cell>
        </row>
        <row r="1330">
          <cell r="A1330" t="str">
            <v>ORD_004725</v>
          </cell>
        </row>
        <row r="1331">
          <cell r="A1331" t="str">
            <v>ORD_004871</v>
          </cell>
        </row>
        <row r="1332">
          <cell r="A1332" t="str">
            <v>ORD_001539</v>
          </cell>
        </row>
        <row r="1333">
          <cell r="A1333" t="str">
            <v>ORD_003684</v>
          </cell>
        </row>
        <row r="1334">
          <cell r="A1334" t="str">
            <v>ORD_002250</v>
          </cell>
        </row>
        <row r="1335">
          <cell r="A1335" t="str">
            <v>ORD_004615</v>
          </cell>
        </row>
        <row r="1336">
          <cell r="A1336" t="str">
            <v>ORD_004426</v>
          </cell>
        </row>
        <row r="1337">
          <cell r="A1337" t="str">
            <v>ORD_003980</v>
          </cell>
        </row>
        <row r="1338">
          <cell r="A1338" t="str">
            <v>ORD_002910</v>
          </cell>
        </row>
        <row r="1339">
          <cell r="A1339" t="str">
            <v>ORD_000275</v>
          </cell>
        </row>
        <row r="1340">
          <cell r="A1340" t="str">
            <v>ORD_003357</v>
          </cell>
        </row>
        <row r="1341">
          <cell r="A1341" t="str">
            <v>ORD_000422</v>
          </cell>
        </row>
        <row r="1342">
          <cell r="A1342" t="str">
            <v>ORD_000146</v>
          </cell>
        </row>
        <row r="1343">
          <cell r="A1343" t="str">
            <v>ORD_000795</v>
          </cell>
        </row>
        <row r="1344">
          <cell r="A1344" t="str">
            <v>ORD_004355</v>
          </cell>
        </row>
        <row r="1345">
          <cell r="A1345" t="str">
            <v>ORD_000925</v>
          </cell>
        </row>
        <row r="1346">
          <cell r="A1346" t="str">
            <v>ORD_003903</v>
          </cell>
        </row>
        <row r="1347">
          <cell r="A1347" t="str">
            <v>ORD_003130</v>
          </cell>
        </row>
        <row r="1348">
          <cell r="A1348" t="str">
            <v>ORD_003475</v>
          </cell>
        </row>
        <row r="1349">
          <cell r="A1349" t="str">
            <v>ORD_001172</v>
          </cell>
        </row>
        <row r="1350">
          <cell r="A1350" t="str">
            <v>ORD_003300</v>
          </cell>
        </row>
        <row r="1351">
          <cell r="A1351" t="str">
            <v>ORD_002699</v>
          </cell>
        </row>
        <row r="1352">
          <cell r="A1352" t="str">
            <v>ORD_004421</v>
          </cell>
        </row>
        <row r="1353">
          <cell r="A1353" t="str">
            <v>ORD_004095</v>
          </cell>
        </row>
        <row r="1354">
          <cell r="A1354" t="str">
            <v>ORD_000336</v>
          </cell>
        </row>
        <row r="1355">
          <cell r="A1355" t="str">
            <v>ORD_004985</v>
          </cell>
        </row>
        <row r="1356">
          <cell r="A1356" t="str">
            <v>ORD_004819</v>
          </cell>
        </row>
        <row r="1357">
          <cell r="A1357" t="str">
            <v>ORD_000550</v>
          </cell>
        </row>
        <row r="1358">
          <cell r="A1358" t="str">
            <v>ORD_000579</v>
          </cell>
        </row>
        <row r="1359">
          <cell r="A1359" t="str">
            <v>ORD_004619</v>
          </cell>
        </row>
        <row r="1360">
          <cell r="A1360" t="str">
            <v>ORD_002919</v>
          </cell>
        </row>
        <row r="1361">
          <cell r="A1361" t="str">
            <v>ORD_000766</v>
          </cell>
        </row>
        <row r="1362">
          <cell r="A1362" t="str">
            <v>ORD_000346</v>
          </cell>
        </row>
        <row r="1363">
          <cell r="A1363" t="str">
            <v>ORD_000179</v>
          </cell>
        </row>
        <row r="1364">
          <cell r="A1364" t="str">
            <v>ORD_000505</v>
          </cell>
        </row>
        <row r="1365">
          <cell r="A1365" t="str">
            <v>ORD_001096</v>
          </cell>
        </row>
        <row r="1366">
          <cell r="A1366" t="str">
            <v>ORD_001624</v>
          </cell>
        </row>
        <row r="1367">
          <cell r="A1367" t="str">
            <v>ORD_002821</v>
          </cell>
        </row>
        <row r="1368">
          <cell r="A1368" t="str">
            <v>ORD_001814</v>
          </cell>
        </row>
        <row r="1369">
          <cell r="A1369" t="str">
            <v>ORD_004521</v>
          </cell>
        </row>
        <row r="1370">
          <cell r="A1370" t="str">
            <v>ORD_001275</v>
          </cell>
        </row>
        <row r="1371">
          <cell r="A1371" t="str">
            <v>ORD_003979</v>
          </cell>
        </row>
        <row r="1372">
          <cell r="A1372" t="str">
            <v>ORD_002405</v>
          </cell>
        </row>
        <row r="1373">
          <cell r="A1373" t="str">
            <v>ORD_001580</v>
          </cell>
        </row>
        <row r="1374">
          <cell r="A1374" t="str">
            <v>ORD_003771</v>
          </cell>
        </row>
        <row r="1375">
          <cell r="A1375" t="str">
            <v>ORD_001153</v>
          </cell>
        </row>
        <row r="1376">
          <cell r="A1376" t="str">
            <v>ORD_002586</v>
          </cell>
        </row>
        <row r="1377">
          <cell r="A1377" t="str">
            <v>ORD_000908</v>
          </cell>
        </row>
        <row r="1378">
          <cell r="A1378" t="str">
            <v>ORD_002533</v>
          </cell>
        </row>
        <row r="1379">
          <cell r="A1379" t="str">
            <v>ORD_004065</v>
          </cell>
        </row>
        <row r="1380">
          <cell r="A1380" t="str">
            <v>ORD_002279</v>
          </cell>
        </row>
        <row r="1381">
          <cell r="A1381" t="str">
            <v>ORD_001329</v>
          </cell>
        </row>
        <row r="1382">
          <cell r="A1382" t="str">
            <v>ORD_004787</v>
          </cell>
        </row>
        <row r="1383">
          <cell r="A1383" t="str">
            <v>ORD_002076</v>
          </cell>
        </row>
        <row r="1384">
          <cell r="A1384" t="str">
            <v>ORD_001561</v>
          </cell>
        </row>
        <row r="1385">
          <cell r="A1385" t="str">
            <v>ORD_000641</v>
          </cell>
        </row>
        <row r="1386">
          <cell r="A1386" t="str">
            <v>ORD_001563</v>
          </cell>
        </row>
        <row r="1387">
          <cell r="A1387" t="str">
            <v>ORD_003587</v>
          </cell>
        </row>
        <row r="1388">
          <cell r="A1388" t="str">
            <v>ORD_001921</v>
          </cell>
        </row>
        <row r="1389">
          <cell r="A1389" t="str">
            <v>ORD_003411</v>
          </cell>
        </row>
        <row r="1390">
          <cell r="A1390" t="str">
            <v>ORD_000940</v>
          </cell>
        </row>
        <row r="1391">
          <cell r="A1391" t="str">
            <v>ORD_002469</v>
          </cell>
        </row>
        <row r="1392">
          <cell r="A1392" t="str">
            <v>ORD_003170</v>
          </cell>
        </row>
        <row r="1393">
          <cell r="A1393" t="str">
            <v>ORD_003271</v>
          </cell>
        </row>
        <row r="1394">
          <cell r="A1394" t="str">
            <v>ORD_003690</v>
          </cell>
        </row>
        <row r="1395">
          <cell r="A1395" t="str">
            <v>ORD_001663</v>
          </cell>
        </row>
        <row r="1396">
          <cell r="A1396" t="str">
            <v>ORD_002163</v>
          </cell>
        </row>
        <row r="1397">
          <cell r="A1397" t="str">
            <v>ORD_001045</v>
          </cell>
        </row>
        <row r="1398">
          <cell r="A1398" t="str">
            <v>ORD_004115</v>
          </cell>
        </row>
        <row r="1399">
          <cell r="A1399" t="str">
            <v>ORD_000793</v>
          </cell>
        </row>
        <row r="1400">
          <cell r="A1400" t="str">
            <v>ORD_004753</v>
          </cell>
        </row>
        <row r="1401">
          <cell r="A1401" t="str">
            <v>ORD_004992</v>
          </cell>
        </row>
        <row r="1402">
          <cell r="A1402" t="str">
            <v>ORD_002711</v>
          </cell>
        </row>
        <row r="1403">
          <cell r="A1403" t="str">
            <v>ORD_000434</v>
          </cell>
        </row>
        <row r="1404">
          <cell r="A1404" t="str">
            <v>ORD_004930</v>
          </cell>
        </row>
        <row r="1405">
          <cell r="A1405" t="str">
            <v>ORD_003314</v>
          </cell>
        </row>
        <row r="1406">
          <cell r="A1406" t="str">
            <v>ORD_000622</v>
          </cell>
        </row>
        <row r="1407">
          <cell r="A1407" t="str">
            <v>ORD_000894</v>
          </cell>
        </row>
        <row r="1408">
          <cell r="A1408" t="str">
            <v>ORD_003647</v>
          </cell>
        </row>
        <row r="1409">
          <cell r="A1409" t="str">
            <v>ORD_003302</v>
          </cell>
        </row>
        <row r="1410">
          <cell r="A1410" t="str">
            <v>ORD_003670</v>
          </cell>
        </row>
        <row r="1411">
          <cell r="A1411" t="str">
            <v>ORD_002709</v>
          </cell>
        </row>
        <row r="1412">
          <cell r="A1412" t="str">
            <v>ORD_004771</v>
          </cell>
        </row>
        <row r="1413">
          <cell r="A1413" t="str">
            <v>ORD_000519</v>
          </cell>
        </row>
        <row r="1414">
          <cell r="A1414" t="str">
            <v>ORD_000150</v>
          </cell>
        </row>
        <row r="1415">
          <cell r="A1415" t="str">
            <v>ORD_004360</v>
          </cell>
        </row>
        <row r="1416">
          <cell r="A1416" t="str">
            <v>ORD_004677</v>
          </cell>
        </row>
        <row r="1417">
          <cell r="A1417" t="str">
            <v>ORD_004225</v>
          </cell>
        </row>
        <row r="1418">
          <cell r="A1418" t="str">
            <v>ORD_000202</v>
          </cell>
        </row>
        <row r="1419">
          <cell r="A1419" t="str">
            <v>ORD_001699</v>
          </cell>
        </row>
        <row r="1420">
          <cell r="A1420" t="str">
            <v>ORD_001831</v>
          </cell>
        </row>
        <row r="1421">
          <cell r="A1421" t="str">
            <v>ORD_000144</v>
          </cell>
        </row>
        <row r="1422">
          <cell r="A1422" t="str">
            <v>ORD_000486</v>
          </cell>
        </row>
        <row r="1423">
          <cell r="A1423" t="str">
            <v>ORD_002855</v>
          </cell>
        </row>
        <row r="1424">
          <cell r="A1424" t="str">
            <v>ORD_001229</v>
          </cell>
        </row>
        <row r="1425">
          <cell r="A1425" t="str">
            <v>ORD_000376</v>
          </cell>
        </row>
        <row r="1426">
          <cell r="A1426" t="str">
            <v>ORD_001691</v>
          </cell>
        </row>
        <row r="1427">
          <cell r="A1427" t="str">
            <v>ORD_000254</v>
          </cell>
        </row>
        <row r="1428">
          <cell r="A1428" t="str">
            <v>ORD_000459</v>
          </cell>
        </row>
        <row r="1429">
          <cell r="A1429" t="str">
            <v>ORD_001487</v>
          </cell>
        </row>
        <row r="1430">
          <cell r="A1430" t="str">
            <v>ORD_003055</v>
          </cell>
        </row>
        <row r="1431">
          <cell r="A1431" t="str">
            <v>ORD_000502</v>
          </cell>
        </row>
        <row r="1432">
          <cell r="A1432" t="str">
            <v>ORD_000625</v>
          </cell>
        </row>
        <row r="1433">
          <cell r="A1433" t="str">
            <v>ORD_000440</v>
          </cell>
        </row>
        <row r="1434">
          <cell r="A1434" t="str">
            <v>ORD_001202</v>
          </cell>
        </row>
        <row r="1435">
          <cell r="A1435" t="str">
            <v>ORD_000058</v>
          </cell>
        </row>
        <row r="1436">
          <cell r="A1436" t="str">
            <v>ORD_002962</v>
          </cell>
        </row>
        <row r="1437">
          <cell r="A1437" t="str">
            <v>ORD_004965</v>
          </cell>
        </row>
        <row r="1438">
          <cell r="A1438" t="str">
            <v>ORD_003126</v>
          </cell>
        </row>
        <row r="1439">
          <cell r="A1439" t="str">
            <v>ORD_002908</v>
          </cell>
        </row>
        <row r="1440">
          <cell r="A1440" t="str">
            <v>ORD_001243</v>
          </cell>
        </row>
        <row r="1441">
          <cell r="A1441" t="str">
            <v>ORD_001355</v>
          </cell>
        </row>
        <row r="1442">
          <cell r="A1442" t="str">
            <v>ORD_000580</v>
          </cell>
        </row>
        <row r="1443">
          <cell r="A1443" t="str">
            <v>ORD_000189</v>
          </cell>
        </row>
        <row r="1444">
          <cell r="A1444" t="str">
            <v>ORD_001994</v>
          </cell>
        </row>
        <row r="1445">
          <cell r="A1445" t="str">
            <v>ORD_002616</v>
          </cell>
        </row>
        <row r="1446">
          <cell r="A1446" t="str">
            <v>ORD_003774</v>
          </cell>
        </row>
        <row r="1447">
          <cell r="A1447" t="str">
            <v>ORD_001416</v>
          </cell>
        </row>
        <row r="1448">
          <cell r="A1448" t="str">
            <v>ORD_004403</v>
          </cell>
        </row>
        <row r="1449">
          <cell r="A1449" t="str">
            <v>ORD_000099</v>
          </cell>
        </row>
        <row r="1450">
          <cell r="A1450" t="str">
            <v>ORD_003307</v>
          </cell>
        </row>
        <row r="1451">
          <cell r="A1451" t="str">
            <v>ORD_004435</v>
          </cell>
        </row>
        <row r="1452">
          <cell r="A1452" t="str">
            <v>ORD_003966</v>
          </cell>
        </row>
        <row r="1453">
          <cell r="A1453" t="str">
            <v>ORD_001288</v>
          </cell>
        </row>
        <row r="1454">
          <cell r="A1454" t="str">
            <v>ORD_004335</v>
          </cell>
        </row>
        <row r="1455">
          <cell r="A1455" t="str">
            <v>ORD_003964</v>
          </cell>
        </row>
        <row r="1456">
          <cell r="A1456" t="str">
            <v>ORD_003601</v>
          </cell>
        </row>
        <row r="1457">
          <cell r="A1457" t="str">
            <v>ORD_003907</v>
          </cell>
        </row>
        <row r="1458">
          <cell r="A1458" t="str">
            <v>ORD_004760</v>
          </cell>
        </row>
        <row r="1459">
          <cell r="A1459" t="str">
            <v>ORD_004479</v>
          </cell>
        </row>
        <row r="1460">
          <cell r="A1460" t="str">
            <v>ORD_000130</v>
          </cell>
        </row>
        <row r="1461">
          <cell r="A1461" t="str">
            <v>ORD_001020</v>
          </cell>
        </row>
        <row r="1462">
          <cell r="A1462" t="str">
            <v>ORD_000113</v>
          </cell>
        </row>
        <row r="1463">
          <cell r="A1463" t="str">
            <v>ORD_001094</v>
          </cell>
        </row>
        <row r="1464">
          <cell r="A1464" t="str">
            <v>ORD_004823</v>
          </cell>
        </row>
        <row r="1465">
          <cell r="A1465" t="str">
            <v>ORD_001009</v>
          </cell>
        </row>
        <row r="1466">
          <cell r="A1466" t="str">
            <v>ORD_003177</v>
          </cell>
        </row>
        <row r="1467">
          <cell r="A1467" t="str">
            <v>ORD_003824</v>
          </cell>
        </row>
        <row r="1468">
          <cell r="A1468" t="str">
            <v>ORD_003925</v>
          </cell>
        </row>
        <row r="1469">
          <cell r="A1469" t="str">
            <v>ORD_001997</v>
          </cell>
        </row>
        <row r="1470">
          <cell r="A1470" t="str">
            <v>ORD_001390</v>
          </cell>
        </row>
        <row r="1471">
          <cell r="A1471" t="str">
            <v>ORD_001660</v>
          </cell>
        </row>
        <row r="1472">
          <cell r="A1472" t="str">
            <v>ORD_002048</v>
          </cell>
        </row>
        <row r="1473">
          <cell r="A1473" t="str">
            <v>ORD_000863</v>
          </cell>
        </row>
        <row r="1474">
          <cell r="A1474" t="str">
            <v>ORD_001263</v>
          </cell>
        </row>
        <row r="1475">
          <cell r="A1475" t="str">
            <v>ORD_003180</v>
          </cell>
        </row>
        <row r="1476">
          <cell r="A1476" t="str">
            <v>ORD_000492</v>
          </cell>
        </row>
        <row r="1477">
          <cell r="A1477" t="str">
            <v>ORD_002040</v>
          </cell>
        </row>
        <row r="1478">
          <cell r="A1478" t="str">
            <v>ORD_004941</v>
          </cell>
        </row>
        <row r="1479">
          <cell r="A1479" t="str">
            <v>ORD_003262</v>
          </cell>
        </row>
        <row r="1480">
          <cell r="A1480" t="str">
            <v>ORD_002422</v>
          </cell>
        </row>
        <row r="1481">
          <cell r="A1481" t="str">
            <v>ORD_003884</v>
          </cell>
        </row>
        <row r="1482">
          <cell r="A1482" t="str">
            <v>ORD_004768</v>
          </cell>
        </row>
        <row r="1483">
          <cell r="A1483" t="str">
            <v>ORD_002599</v>
          </cell>
        </row>
        <row r="1484">
          <cell r="A1484" t="str">
            <v>ORD_000811</v>
          </cell>
        </row>
        <row r="1485">
          <cell r="A1485" t="str">
            <v>ORD_003149</v>
          </cell>
        </row>
        <row r="1486">
          <cell r="A1486" t="str">
            <v>ORD_001878</v>
          </cell>
        </row>
        <row r="1487">
          <cell r="A1487" t="str">
            <v>ORD_003752</v>
          </cell>
        </row>
        <row r="1488">
          <cell r="A1488" t="str">
            <v>ORD_002825</v>
          </cell>
        </row>
        <row r="1489">
          <cell r="A1489" t="str">
            <v>ORD_004318</v>
          </cell>
        </row>
        <row r="1490">
          <cell r="A1490" t="str">
            <v>ORD_000005</v>
          </cell>
        </row>
        <row r="1491">
          <cell r="A1491" t="str">
            <v>ORD_002199</v>
          </cell>
        </row>
        <row r="1492">
          <cell r="A1492" t="str">
            <v>ORD_004517</v>
          </cell>
        </row>
        <row r="1493">
          <cell r="A1493" t="str">
            <v>ORD_003539</v>
          </cell>
        </row>
        <row r="1494">
          <cell r="A1494" t="str">
            <v>ORD_001131</v>
          </cell>
        </row>
        <row r="1495">
          <cell r="A1495" t="str">
            <v>ORD_001601</v>
          </cell>
        </row>
        <row r="1496">
          <cell r="A1496" t="str">
            <v>ORD_002650</v>
          </cell>
        </row>
        <row r="1497">
          <cell r="A1497" t="str">
            <v>ORD_000805</v>
          </cell>
        </row>
        <row r="1498">
          <cell r="A1498" t="str">
            <v>ORD_001052</v>
          </cell>
        </row>
        <row r="1499">
          <cell r="A1499" t="str">
            <v>ORD_000798</v>
          </cell>
        </row>
        <row r="1500">
          <cell r="A1500" t="str">
            <v>ORD_001112</v>
          </cell>
        </row>
        <row r="1501">
          <cell r="A1501" t="str">
            <v>ORD_001772</v>
          </cell>
        </row>
        <row r="1502">
          <cell r="A1502" t="str">
            <v>ORD_004414</v>
          </cell>
        </row>
        <row r="1503">
          <cell r="A1503" t="str">
            <v>ORD_001809</v>
          </cell>
        </row>
        <row r="1504">
          <cell r="A1504" t="str">
            <v>ORD_003479</v>
          </cell>
        </row>
        <row r="1505">
          <cell r="A1505" t="str">
            <v>ORD_004616</v>
          </cell>
        </row>
        <row r="1506">
          <cell r="A1506" t="str">
            <v>ORD_001408</v>
          </cell>
        </row>
        <row r="1507">
          <cell r="A1507" t="str">
            <v>ORD_003972</v>
          </cell>
        </row>
        <row r="1508">
          <cell r="A1508" t="str">
            <v>ORD_000512</v>
          </cell>
        </row>
        <row r="1509">
          <cell r="A1509" t="str">
            <v>ORD_002698</v>
          </cell>
        </row>
        <row r="1510">
          <cell r="A1510" t="str">
            <v>ORD_001298</v>
          </cell>
        </row>
        <row r="1511">
          <cell r="A1511" t="str">
            <v>ORD_000035</v>
          </cell>
        </row>
        <row r="1512">
          <cell r="A1512" t="str">
            <v>ORD_001026</v>
          </cell>
        </row>
        <row r="1513">
          <cell r="A1513" t="str">
            <v>ORD_004449</v>
          </cell>
        </row>
        <row r="1514">
          <cell r="A1514" t="str">
            <v>ORD_000045</v>
          </cell>
        </row>
        <row r="1515">
          <cell r="A1515" t="str">
            <v>ORD_004208</v>
          </cell>
        </row>
        <row r="1516">
          <cell r="A1516" t="str">
            <v>ORD_000089</v>
          </cell>
        </row>
        <row r="1517">
          <cell r="A1517" t="str">
            <v>ORD_000298</v>
          </cell>
        </row>
        <row r="1518">
          <cell r="A1518" t="str">
            <v>ORD_000606</v>
          </cell>
        </row>
        <row r="1519">
          <cell r="A1519" t="str">
            <v>ORD_000610</v>
          </cell>
        </row>
        <row r="1520">
          <cell r="A1520" t="str">
            <v>ORD_001975</v>
          </cell>
        </row>
        <row r="1521">
          <cell r="A1521" t="str">
            <v>ORD_000904</v>
          </cell>
        </row>
        <row r="1522">
          <cell r="A1522" t="str">
            <v>ORD_000344</v>
          </cell>
        </row>
        <row r="1523">
          <cell r="A1523" t="str">
            <v>ORD_003131</v>
          </cell>
        </row>
        <row r="1524">
          <cell r="A1524" t="str">
            <v>ORD_004699</v>
          </cell>
        </row>
        <row r="1525">
          <cell r="A1525" t="str">
            <v>ORD_003828</v>
          </cell>
        </row>
        <row r="1526">
          <cell r="A1526" t="str">
            <v>ORD_001754</v>
          </cell>
        </row>
        <row r="1527">
          <cell r="A1527" t="str">
            <v>ORD_004029</v>
          </cell>
        </row>
        <row r="1528">
          <cell r="A1528" t="str">
            <v>ORD_004394</v>
          </cell>
        </row>
        <row r="1529">
          <cell r="A1529" t="str">
            <v>ORD_002983</v>
          </cell>
        </row>
        <row r="1530">
          <cell r="A1530" t="str">
            <v>ORD_001047</v>
          </cell>
        </row>
        <row r="1531">
          <cell r="A1531" t="str">
            <v>ORD_004902</v>
          </cell>
        </row>
        <row r="1532">
          <cell r="A1532" t="str">
            <v>ORD_000493</v>
          </cell>
        </row>
        <row r="1533">
          <cell r="A1533" t="str">
            <v>ORD_001222</v>
          </cell>
        </row>
        <row r="1534">
          <cell r="A1534" t="str">
            <v>ORD_001419</v>
          </cell>
        </row>
        <row r="1535">
          <cell r="A1535" t="str">
            <v>ORD_003640</v>
          </cell>
        </row>
        <row r="1536">
          <cell r="A1536" t="str">
            <v>ORD_001118</v>
          </cell>
        </row>
        <row r="1537">
          <cell r="A1537" t="str">
            <v>ORD_002260</v>
          </cell>
        </row>
        <row r="1538">
          <cell r="A1538" t="str">
            <v>ORD_002392</v>
          </cell>
        </row>
        <row r="1539">
          <cell r="A1539" t="str">
            <v>ORD_002948</v>
          </cell>
        </row>
        <row r="1540">
          <cell r="A1540" t="str">
            <v>ORD_004842</v>
          </cell>
        </row>
        <row r="1541">
          <cell r="A1541" t="str">
            <v>ORD_002372</v>
          </cell>
        </row>
        <row r="1542">
          <cell r="A1542" t="str">
            <v>ORD_002056</v>
          </cell>
        </row>
        <row r="1543">
          <cell r="A1543" t="str">
            <v>ORD_002818</v>
          </cell>
        </row>
        <row r="1544">
          <cell r="A1544" t="str">
            <v>ORD_000466</v>
          </cell>
        </row>
        <row r="1545">
          <cell r="A1545" t="str">
            <v>ORD_003252</v>
          </cell>
        </row>
        <row r="1546">
          <cell r="A1546" t="str">
            <v>ORD_000713</v>
          </cell>
        </row>
        <row r="1547">
          <cell r="A1547" t="str">
            <v>ORD_001146</v>
          </cell>
        </row>
        <row r="1548">
          <cell r="A1548" t="str">
            <v>ORD_002278</v>
          </cell>
        </row>
        <row r="1549">
          <cell r="A1549" t="str">
            <v>ORD_004482</v>
          </cell>
        </row>
        <row r="1550">
          <cell r="A1550" t="str">
            <v>ORD_002418</v>
          </cell>
        </row>
        <row r="1551">
          <cell r="A1551" t="str">
            <v>ORD_004625</v>
          </cell>
        </row>
        <row r="1552">
          <cell r="A1552" t="str">
            <v>ORD_002716</v>
          </cell>
        </row>
        <row r="1553">
          <cell r="A1553" t="str">
            <v>ORD_000692</v>
          </cell>
        </row>
        <row r="1554">
          <cell r="A1554" t="str">
            <v>ORD_002955</v>
          </cell>
        </row>
        <row r="1555">
          <cell r="A1555" t="str">
            <v>ORD_001613</v>
          </cell>
        </row>
        <row r="1556">
          <cell r="A1556" t="str">
            <v>ORD_002212</v>
          </cell>
        </row>
        <row r="1557">
          <cell r="A1557" t="str">
            <v>ORD_000380</v>
          </cell>
        </row>
        <row r="1558">
          <cell r="A1558" t="str">
            <v>ORD_000809</v>
          </cell>
        </row>
        <row r="1559">
          <cell r="A1559" t="str">
            <v>ORD_003218</v>
          </cell>
        </row>
        <row r="1560">
          <cell r="A1560" t="str">
            <v>ORD_003428</v>
          </cell>
        </row>
        <row r="1561">
          <cell r="A1561" t="str">
            <v>ORD_003754</v>
          </cell>
        </row>
        <row r="1562">
          <cell r="A1562" t="str">
            <v>ORD_004684</v>
          </cell>
        </row>
        <row r="1563">
          <cell r="A1563" t="str">
            <v>ORD_002591</v>
          </cell>
        </row>
        <row r="1564">
          <cell r="A1564" t="str">
            <v>ORD_002455</v>
          </cell>
        </row>
        <row r="1565">
          <cell r="A1565" t="str">
            <v>ORD_001358</v>
          </cell>
        </row>
        <row r="1566">
          <cell r="A1566" t="str">
            <v>ORD_001955</v>
          </cell>
        </row>
        <row r="1567">
          <cell r="A1567" t="str">
            <v>ORD_001255</v>
          </cell>
        </row>
        <row r="1568">
          <cell r="A1568" t="str">
            <v>ORD_003164</v>
          </cell>
        </row>
        <row r="1569">
          <cell r="A1569" t="str">
            <v>ORD_004281</v>
          </cell>
        </row>
        <row r="1570">
          <cell r="A1570" t="str">
            <v>ORD_003137</v>
          </cell>
        </row>
        <row r="1571">
          <cell r="A1571" t="str">
            <v>ORD_002976</v>
          </cell>
        </row>
        <row r="1572">
          <cell r="A1572" t="str">
            <v>ORD_001514</v>
          </cell>
        </row>
        <row r="1573">
          <cell r="A1573" t="str">
            <v>ORD_004321</v>
          </cell>
        </row>
        <row r="1574">
          <cell r="A1574" t="str">
            <v>ORD_001220</v>
          </cell>
        </row>
        <row r="1575">
          <cell r="A1575" t="str">
            <v>ORD_002480</v>
          </cell>
        </row>
        <row r="1576">
          <cell r="A1576" t="str">
            <v>ORD_003216</v>
          </cell>
        </row>
        <row r="1577">
          <cell r="A1577" t="str">
            <v>ORD_003150</v>
          </cell>
        </row>
        <row r="1578">
          <cell r="A1578" t="str">
            <v>ORD_001568</v>
          </cell>
        </row>
        <row r="1579">
          <cell r="A1579" t="str">
            <v>ORD_001319</v>
          </cell>
        </row>
        <row r="1580">
          <cell r="A1580" t="str">
            <v>ORD_002739</v>
          </cell>
        </row>
        <row r="1581">
          <cell r="A1581" t="str">
            <v>ORD_002077</v>
          </cell>
        </row>
        <row r="1582">
          <cell r="A1582" t="str">
            <v>ORD_002867</v>
          </cell>
        </row>
        <row r="1583">
          <cell r="A1583" t="str">
            <v>ORD_002914</v>
          </cell>
        </row>
        <row r="1584">
          <cell r="A1584" t="str">
            <v>ORD_003518</v>
          </cell>
        </row>
        <row r="1585">
          <cell r="A1585" t="str">
            <v>ORD_000082</v>
          </cell>
        </row>
        <row r="1586">
          <cell r="A1586" t="str">
            <v>ORD_002114</v>
          </cell>
        </row>
        <row r="1587">
          <cell r="A1587" t="str">
            <v>ORD_003162</v>
          </cell>
        </row>
        <row r="1588">
          <cell r="A1588" t="str">
            <v>ORD_004401</v>
          </cell>
        </row>
        <row r="1589">
          <cell r="A1589" t="str">
            <v>ORD_003243</v>
          </cell>
        </row>
        <row r="1590">
          <cell r="A1590" t="str">
            <v>ORD_002504</v>
          </cell>
        </row>
        <row r="1591">
          <cell r="A1591" t="str">
            <v>ORD_004929</v>
          </cell>
        </row>
        <row r="1592">
          <cell r="A1592" t="str">
            <v>ORD_004050</v>
          </cell>
        </row>
        <row r="1593">
          <cell r="A1593" t="str">
            <v>ORD_001387</v>
          </cell>
        </row>
        <row r="1594">
          <cell r="A1594" t="str">
            <v>ORD_004316</v>
          </cell>
        </row>
        <row r="1595">
          <cell r="A1595" t="str">
            <v>ORD_001135</v>
          </cell>
        </row>
        <row r="1596">
          <cell r="A1596" t="str">
            <v>ORD_004019</v>
          </cell>
        </row>
        <row r="1597">
          <cell r="A1597" t="str">
            <v>ORD_004853</v>
          </cell>
        </row>
        <row r="1598">
          <cell r="A1598" t="str">
            <v>ORD_001217</v>
          </cell>
        </row>
        <row r="1599">
          <cell r="A1599" t="str">
            <v>ORD_004400</v>
          </cell>
        </row>
        <row r="1600">
          <cell r="A1600" t="str">
            <v>ORD_003949</v>
          </cell>
        </row>
        <row r="1601">
          <cell r="A1601" t="str">
            <v>ORD_001534</v>
          </cell>
        </row>
        <row r="1602">
          <cell r="A1602" t="str">
            <v>ORD_002573</v>
          </cell>
        </row>
        <row r="1603">
          <cell r="A1603" t="str">
            <v>ORD_000194</v>
          </cell>
        </row>
        <row r="1604">
          <cell r="A1604" t="str">
            <v>ORD_001888</v>
          </cell>
        </row>
        <row r="1605">
          <cell r="A1605" t="str">
            <v>ORD_000068</v>
          </cell>
        </row>
        <row r="1606">
          <cell r="A1606" t="str">
            <v>ORD_001074</v>
          </cell>
        </row>
        <row r="1607">
          <cell r="A1607" t="str">
            <v>ORD_002627</v>
          </cell>
        </row>
        <row r="1608">
          <cell r="A1608" t="str">
            <v>ORD_001647</v>
          </cell>
        </row>
        <row r="1609">
          <cell r="A1609" t="str">
            <v>ORD_003901</v>
          </cell>
        </row>
        <row r="1610">
          <cell r="A1610" t="str">
            <v>ORD_000674</v>
          </cell>
        </row>
        <row r="1611">
          <cell r="A1611" t="str">
            <v>ORD_003334</v>
          </cell>
        </row>
        <row r="1612">
          <cell r="A1612" t="str">
            <v>ORD_002334</v>
          </cell>
        </row>
        <row r="1613">
          <cell r="A1613" t="str">
            <v>ORD_003278</v>
          </cell>
        </row>
        <row r="1614">
          <cell r="A1614" t="str">
            <v>ORD_002633</v>
          </cell>
        </row>
        <row r="1615">
          <cell r="A1615" t="str">
            <v>ORD_001667</v>
          </cell>
        </row>
        <row r="1616">
          <cell r="A1616" t="str">
            <v>ORD_004641</v>
          </cell>
        </row>
        <row r="1617">
          <cell r="A1617" t="str">
            <v>ORD_000391</v>
          </cell>
        </row>
        <row r="1618">
          <cell r="A1618" t="str">
            <v>ORD_001122</v>
          </cell>
        </row>
        <row r="1619">
          <cell r="A1619" t="str">
            <v>ORD_004139</v>
          </cell>
        </row>
        <row r="1620">
          <cell r="A1620" t="str">
            <v>ORD_001596</v>
          </cell>
        </row>
        <row r="1621">
          <cell r="A1621" t="str">
            <v>ORD_003676</v>
          </cell>
        </row>
        <row r="1622">
          <cell r="A1622" t="str">
            <v>ORD_001594</v>
          </cell>
        </row>
        <row r="1623">
          <cell r="A1623" t="str">
            <v>ORD_003247</v>
          </cell>
        </row>
        <row r="1624">
          <cell r="A1624" t="str">
            <v>ORD_004248</v>
          </cell>
        </row>
        <row r="1625">
          <cell r="A1625" t="str">
            <v>ORD_001187</v>
          </cell>
        </row>
        <row r="1626">
          <cell r="A1626" t="str">
            <v>ORD_002876</v>
          </cell>
        </row>
        <row r="1627">
          <cell r="A1627" t="str">
            <v>ORD_003133</v>
          </cell>
        </row>
        <row r="1628">
          <cell r="A1628" t="str">
            <v>ORD_000848</v>
          </cell>
        </row>
        <row r="1629">
          <cell r="A1629" t="str">
            <v>ORD_004356</v>
          </cell>
        </row>
        <row r="1630">
          <cell r="A1630" t="str">
            <v>ORD_003465</v>
          </cell>
        </row>
        <row r="1631">
          <cell r="A1631" t="str">
            <v>ORD_003135</v>
          </cell>
        </row>
        <row r="1632">
          <cell r="A1632" t="str">
            <v>ORD_000210</v>
          </cell>
        </row>
        <row r="1633">
          <cell r="A1633" t="str">
            <v>ORD_001421</v>
          </cell>
        </row>
        <row r="1634">
          <cell r="A1634" t="str">
            <v>ORD_004571</v>
          </cell>
        </row>
        <row r="1635">
          <cell r="A1635" t="str">
            <v>ORD_003572</v>
          </cell>
        </row>
        <row r="1636">
          <cell r="A1636" t="str">
            <v>ORD_003846</v>
          </cell>
        </row>
        <row r="1637">
          <cell r="A1637" t="str">
            <v>ORD_003036</v>
          </cell>
        </row>
        <row r="1638">
          <cell r="A1638" t="str">
            <v>ORD_003785</v>
          </cell>
        </row>
        <row r="1639">
          <cell r="A1639" t="str">
            <v>ORD_003563</v>
          </cell>
        </row>
        <row r="1640">
          <cell r="A1640" t="str">
            <v>ORD_003538</v>
          </cell>
        </row>
        <row r="1641">
          <cell r="A1641" t="str">
            <v>ORD_000445</v>
          </cell>
        </row>
        <row r="1642">
          <cell r="A1642" t="str">
            <v>ORD_001528</v>
          </cell>
        </row>
        <row r="1643">
          <cell r="A1643" t="str">
            <v>ORD_004163</v>
          </cell>
        </row>
        <row r="1644">
          <cell r="A1644" t="str">
            <v>ORD_003974</v>
          </cell>
        </row>
        <row r="1645">
          <cell r="A1645" t="str">
            <v>ORD_000481</v>
          </cell>
        </row>
        <row r="1646">
          <cell r="A1646" t="str">
            <v>ORD_002740</v>
          </cell>
        </row>
        <row r="1647">
          <cell r="A1647" t="str">
            <v>ORD_004009</v>
          </cell>
        </row>
        <row r="1648">
          <cell r="A1648" t="str">
            <v>ORD_003026</v>
          </cell>
        </row>
        <row r="1649">
          <cell r="A1649" t="str">
            <v>ORD_004991</v>
          </cell>
        </row>
        <row r="1650">
          <cell r="A1650" t="str">
            <v>ORD_001576</v>
          </cell>
        </row>
        <row r="1651">
          <cell r="A1651" t="str">
            <v>ORD_000666</v>
          </cell>
        </row>
        <row r="1652">
          <cell r="A1652" t="str">
            <v>ORD_000686</v>
          </cell>
        </row>
        <row r="1653">
          <cell r="A1653" t="str">
            <v>ORD_003309</v>
          </cell>
        </row>
        <row r="1654">
          <cell r="A1654" t="str">
            <v>ORD_001126</v>
          </cell>
        </row>
        <row r="1655">
          <cell r="A1655" t="str">
            <v>ORD_000972</v>
          </cell>
        </row>
        <row r="1656">
          <cell r="A1656" t="str">
            <v>ORD_003531</v>
          </cell>
        </row>
        <row r="1657">
          <cell r="A1657" t="str">
            <v>ORD_001721</v>
          </cell>
        </row>
        <row r="1658">
          <cell r="A1658" t="str">
            <v>ORD_004633</v>
          </cell>
        </row>
        <row r="1659">
          <cell r="A1659" t="str">
            <v>ORD_002482</v>
          </cell>
        </row>
        <row r="1660">
          <cell r="A1660" t="str">
            <v>ORD_001583</v>
          </cell>
        </row>
        <row r="1661">
          <cell r="A1661" t="str">
            <v>ORD_001857</v>
          </cell>
        </row>
        <row r="1662">
          <cell r="A1662" t="str">
            <v>ORD_002071</v>
          </cell>
        </row>
        <row r="1663">
          <cell r="A1663" t="str">
            <v>ORD_002869</v>
          </cell>
        </row>
        <row r="1664">
          <cell r="A1664" t="str">
            <v>ORD_003965</v>
          </cell>
        </row>
        <row r="1665">
          <cell r="A1665" t="str">
            <v>ORD_004513</v>
          </cell>
        </row>
        <row r="1666">
          <cell r="A1666" t="str">
            <v>ORD_000472</v>
          </cell>
        </row>
        <row r="1667">
          <cell r="A1667" t="str">
            <v>ORD_002810</v>
          </cell>
        </row>
        <row r="1668">
          <cell r="A1668" t="str">
            <v>ORD_001728</v>
          </cell>
        </row>
        <row r="1669">
          <cell r="A1669" t="str">
            <v>ORD_004063</v>
          </cell>
        </row>
        <row r="1670">
          <cell r="A1670" t="str">
            <v>ORD_001170</v>
          </cell>
        </row>
        <row r="1671">
          <cell r="A1671" t="str">
            <v>ORD_003990</v>
          </cell>
        </row>
        <row r="1672">
          <cell r="A1672" t="str">
            <v>ORD_002828</v>
          </cell>
        </row>
        <row r="1673">
          <cell r="A1673" t="str">
            <v>ORD_004972</v>
          </cell>
        </row>
        <row r="1674">
          <cell r="A1674" t="str">
            <v>ORD_000691</v>
          </cell>
        </row>
        <row r="1675">
          <cell r="A1675" t="str">
            <v>ORD_001260</v>
          </cell>
        </row>
        <row r="1676">
          <cell r="A1676" t="str">
            <v>ORD_002197</v>
          </cell>
        </row>
        <row r="1677">
          <cell r="A1677" t="str">
            <v>ORD_003621</v>
          </cell>
        </row>
        <row r="1678">
          <cell r="A1678" t="str">
            <v>ORD_004856</v>
          </cell>
        </row>
        <row r="1679">
          <cell r="A1679" t="str">
            <v>ORD_004257</v>
          </cell>
        </row>
        <row r="1680">
          <cell r="A1680" t="str">
            <v>ORD_000595</v>
          </cell>
        </row>
        <row r="1681">
          <cell r="A1681" t="str">
            <v>ORD_002634</v>
          </cell>
        </row>
        <row r="1682">
          <cell r="A1682" t="str">
            <v>ORD_004530</v>
          </cell>
        </row>
        <row r="1683">
          <cell r="A1683" t="str">
            <v>ORD_001095</v>
          </cell>
        </row>
        <row r="1684">
          <cell r="A1684" t="str">
            <v>ORD_001079</v>
          </cell>
        </row>
        <row r="1685">
          <cell r="A1685" t="str">
            <v>ORD_001191</v>
          </cell>
        </row>
        <row r="1686">
          <cell r="A1686" t="str">
            <v>ORD_000233</v>
          </cell>
        </row>
        <row r="1687">
          <cell r="A1687" t="str">
            <v>ORD_002935</v>
          </cell>
        </row>
        <row r="1688">
          <cell r="A1688" t="str">
            <v>ORD_003646</v>
          </cell>
        </row>
        <row r="1689">
          <cell r="A1689" t="str">
            <v>ORD_000542</v>
          </cell>
        </row>
        <row r="1690">
          <cell r="A1690" t="str">
            <v>ORD_003407</v>
          </cell>
        </row>
        <row r="1691">
          <cell r="A1691" t="str">
            <v>ORD_004963</v>
          </cell>
        </row>
        <row r="1692">
          <cell r="A1692" t="str">
            <v>ORD_003921</v>
          </cell>
        </row>
        <row r="1693">
          <cell r="A1693" t="str">
            <v>ORD_003323</v>
          </cell>
        </row>
        <row r="1694">
          <cell r="A1694" t="str">
            <v>ORD_002063</v>
          </cell>
        </row>
        <row r="1695">
          <cell r="A1695" t="str">
            <v>ORD_001250</v>
          </cell>
        </row>
        <row r="1696">
          <cell r="A1696" t="str">
            <v>ORD_004892</v>
          </cell>
        </row>
        <row r="1697">
          <cell r="A1697" t="str">
            <v>ORD_003046</v>
          </cell>
        </row>
        <row r="1698">
          <cell r="A1698" t="str">
            <v>ORD_002301</v>
          </cell>
        </row>
        <row r="1699">
          <cell r="A1699" t="str">
            <v>ORD_002292</v>
          </cell>
        </row>
        <row r="1700">
          <cell r="A1700" t="str">
            <v>ORD_000724</v>
          </cell>
        </row>
        <row r="1701">
          <cell r="A1701" t="str">
            <v>ORD_004718</v>
          </cell>
        </row>
        <row r="1702">
          <cell r="A1702" t="str">
            <v>ORD_004701</v>
          </cell>
        </row>
        <row r="1703">
          <cell r="A1703" t="str">
            <v>ORD_002138</v>
          </cell>
        </row>
        <row r="1704">
          <cell r="A1704" t="str">
            <v>ORD_002580</v>
          </cell>
        </row>
        <row r="1705">
          <cell r="A1705" t="str">
            <v>ORD_002000</v>
          </cell>
        </row>
        <row r="1706">
          <cell r="A1706" t="str">
            <v>ORD_002323</v>
          </cell>
        </row>
        <row r="1707">
          <cell r="A1707" t="str">
            <v>ORD_004733</v>
          </cell>
        </row>
        <row r="1708">
          <cell r="A1708" t="str">
            <v>ORD_002380</v>
          </cell>
        </row>
        <row r="1709">
          <cell r="A1709" t="str">
            <v>ORD_002205</v>
          </cell>
        </row>
        <row r="1710">
          <cell r="A1710" t="str">
            <v>ORD_000668</v>
          </cell>
        </row>
        <row r="1711">
          <cell r="A1711" t="str">
            <v>ORD_001638</v>
          </cell>
        </row>
        <row r="1712">
          <cell r="A1712" t="str">
            <v>ORD_002771</v>
          </cell>
        </row>
        <row r="1713">
          <cell r="A1713" t="str">
            <v>ORD_004147</v>
          </cell>
        </row>
        <row r="1714">
          <cell r="A1714" t="str">
            <v>ORD_000952</v>
          </cell>
        </row>
        <row r="1715">
          <cell r="A1715" t="str">
            <v>ORD_000956</v>
          </cell>
        </row>
        <row r="1716">
          <cell r="A1716" t="str">
            <v>ORD_001957</v>
          </cell>
        </row>
        <row r="1717">
          <cell r="A1717" t="str">
            <v>ORD_002025</v>
          </cell>
        </row>
        <row r="1718">
          <cell r="A1718" t="str">
            <v>ORD_004845</v>
          </cell>
        </row>
        <row r="1719">
          <cell r="A1719" t="str">
            <v>ORD_000266</v>
          </cell>
        </row>
        <row r="1720">
          <cell r="A1720" t="str">
            <v>ORD_003330</v>
          </cell>
        </row>
        <row r="1721">
          <cell r="A1721" t="str">
            <v>ORD_001371</v>
          </cell>
        </row>
        <row r="1722">
          <cell r="A1722" t="str">
            <v>ORD_004955</v>
          </cell>
        </row>
        <row r="1723">
          <cell r="A1723" t="str">
            <v>ORD_004254</v>
          </cell>
        </row>
        <row r="1724">
          <cell r="A1724" t="str">
            <v>ORD_002890</v>
          </cell>
        </row>
        <row r="1725">
          <cell r="A1725" t="str">
            <v>ORD_004015</v>
          </cell>
        </row>
        <row r="1726">
          <cell r="A1726" t="str">
            <v>ORD_003111</v>
          </cell>
        </row>
        <row r="1727">
          <cell r="A1727" t="str">
            <v>ORD_004231</v>
          </cell>
        </row>
        <row r="1728">
          <cell r="A1728" t="str">
            <v>ORD_001917</v>
          </cell>
        </row>
        <row r="1729">
          <cell r="A1729" t="str">
            <v>ORD_001919</v>
          </cell>
        </row>
        <row r="1730">
          <cell r="A1730" t="str">
            <v>ORD_000661</v>
          </cell>
        </row>
        <row r="1731">
          <cell r="A1731" t="str">
            <v>ORD_000633</v>
          </cell>
        </row>
        <row r="1732">
          <cell r="A1732" t="str">
            <v>ORD_003085</v>
          </cell>
        </row>
        <row r="1733">
          <cell r="A1733" t="str">
            <v>ORD_002106</v>
          </cell>
        </row>
        <row r="1734">
          <cell r="A1734" t="str">
            <v>ORD_002696</v>
          </cell>
        </row>
        <row r="1735">
          <cell r="A1735" t="str">
            <v>ORD_000438</v>
          </cell>
        </row>
        <row r="1736">
          <cell r="A1736" t="str">
            <v>ORD_002926</v>
          </cell>
        </row>
        <row r="1737">
          <cell r="A1737" t="str">
            <v>ORD_004569</v>
          </cell>
        </row>
        <row r="1738">
          <cell r="A1738" t="str">
            <v>ORD_000399</v>
          </cell>
        </row>
        <row r="1739">
          <cell r="A1739" t="str">
            <v>ORD_003661</v>
          </cell>
        </row>
        <row r="1740">
          <cell r="A1740" t="str">
            <v>ORD_004932</v>
          </cell>
        </row>
        <row r="1741">
          <cell r="A1741" t="str">
            <v>ORD_000433</v>
          </cell>
        </row>
        <row r="1742">
          <cell r="A1742" t="str">
            <v>ORD_000128</v>
          </cell>
        </row>
        <row r="1743">
          <cell r="A1743" t="str">
            <v>ORD_004612</v>
          </cell>
        </row>
        <row r="1744">
          <cell r="A1744" t="str">
            <v>ORD_002190</v>
          </cell>
        </row>
        <row r="1745">
          <cell r="A1745" t="str">
            <v>ORD_001101</v>
          </cell>
        </row>
        <row r="1746">
          <cell r="A1746" t="str">
            <v>ORD_001328</v>
          </cell>
        </row>
        <row r="1747">
          <cell r="A1747" t="str">
            <v>ORD_000136</v>
          </cell>
        </row>
        <row r="1748">
          <cell r="A1748" t="str">
            <v>ORD_003835</v>
          </cell>
        </row>
        <row r="1749">
          <cell r="A1749" t="str">
            <v>ORD_002579</v>
          </cell>
        </row>
        <row r="1750">
          <cell r="A1750" t="str">
            <v>ORD_000447</v>
          </cell>
        </row>
        <row r="1751">
          <cell r="A1751" t="str">
            <v>ORD_004284</v>
          </cell>
        </row>
        <row r="1752">
          <cell r="A1752" t="str">
            <v>ORD_002784</v>
          </cell>
        </row>
        <row r="1753">
          <cell r="A1753" t="str">
            <v>ORD_003916</v>
          </cell>
        </row>
        <row r="1754">
          <cell r="A1754" t="str">
            <v>ORD_001501</v>
          </cell>
        </row>
        <row r="1755">
          <cell r="A1755" t="str">
            <v>ORD_004939</v>
          </cell>
        </row>
        <row r="1756">
          <cell r="A1756" t="str">
            <v>ORD_003143</v>
          </cell>
        </row>
        <row r="1757">
          <cell r="A1757" t="str">
            <v>ORD_004658</v>
          </cell>
        </row>
        <row r="1758">
          <cell r="A1758" t="str">
            <v>ORD_000777</v>
          </cell>
        </row>
        <row r="1759">
          <cell r="A1759" t="str">
            <v>ORD_001451</v>
          </cell>
        </row>
        <row r="1760">
          <cell r="A1760" t="str">
            <v>ORD_003658</v>
          </cell>
        </row>
        <row r="1761">
          <cell r="A1761" t="str">
            <v>ORD_002904</v>
          </cell>
        </row>
        <row r="1762">
          <cell r="A1762" t="str">
            <v>ORD_004018</v>
          </cell>
        </row>
        <row r="1763">
          <cell r="A1763" t="str">
            <v>ORD_000813</v>
          </cell>
        </row>
        <row r="1764">
          <cell r="A1764" t="str">
            <v>ORD_004161</v>
          </cell>
        </row>
        <row r="1765">
          <cell r="A1765" t="str">
            <v>ORD_003558</v>
          </cell>
        </row>
        <row r="1766">
          <cell r="A1766" t="str">
            <v>ORD_002445</v>
          </cell>
        </row>
        <row r="1767">
          <cell r="A1767" t="str">
            <v>ORD_004822</v>
          </cell>
        </row>
        <row r="1768">
          <cell r="A1768" t="str">
            <v>ORD_002732</v>
          </cell>
        </row>
        <row r="1769">
          <cell r="A1769" t="str">
            <v>ORD_003020</v>
          </cell>
        </row>
        <row r="1770">
          <cell r="A1770" t="str">
            <v>ORD_002893</v>
          </cell>
        </row>
        <row r="1771">
          <cell r="A1771" t="str">
            <v>ORD_003523</v>
          </cell>
        </row>
        <row r="1772">
          <cell r="A1772" t="str">
            <v>ORD_003638</v>
          </cell>
        </row>
        <row r="1773">
          <cell r="A1773" t="str">
            <v>ORD_003529</v>
          </cell>
        </row>
        <row r="1774">
          <cell r="A1774" t="str">
            <v>ORD_000699</v>
          </cell>
        </row>
        <row r="1775">
          <cell r="A1775" t="str">
            <v>ORD_001873</v>
          </cell>
        </row>
        <row r="1776">
          <cell r="A1776" t="str">
            <v>ORD_004424</v>
          </cell>
        </row>
        <row r="1777">
          <cell r="A1777" t="str">
            <v>ORD_002233</v>
          </cell>
        </row>
        <row r="1778">
          <cell r="A1778" t="str">
            <v>ORD_003217</v>
          </cell>
        </row>
        <row r="1779">
          <cell r="A1779" t="str">
            <v>ORD_004010</v>
          </cell>
        </row>
        <row r="1780">
          <cell r="A1780" t="str">
            <v>ORD_001310</v>
          </cell>
        </row>
        <row r="1781">
          <cell r="A1781" t="str">
            <v>ORD_004818</v>
          </cell>
        </row>
        <row r="1782">
          <cell r="A1782" t="str">
            <v>ORD_002628</v>
          </cell>
        </row>
        <row r="1783">
          <cell r="A1783" t="str">
            <v>ORD_001439</v>
          </cell>
        </row>
        <row r="1784">
          <cell r="A1784" t="str">
            <v>ORD_001828</v>
          </cell>
        </row>
        <row r="1785">
          <cell r="A1785" t="str">
            <v>ORD_000225</v>
          </cell>
        </row>
        <row r="1786">
          <cell r="A1786" t="str">
            <v>ORD_001021</v>
          </cell>
        </row>
        <row r="1787">
          <cell r="A1787" t="str">
            <v>ORD_001273</v>
          </cell>
        </row>
        <row r="1788">
          <cell r="A1788" t="str">
            <v>ORD_002187</v>
          </cell>
        </row>
        <row r="1789">
          <cell r="A1789" t="str">
            <v>ORD_002813</v>
          </cell>
        </row>
        <row r="1790">
          <cell r="A1790" t="str">
            <v>ORD_004398</v>
          </cell>
        </row>
        <row r="1791">
          <cell r="A1791" t="str">
            <v>ORD_004480</v>
          </cell>
        </row>
        <row r="1792">
          <cell r="A1792" t="str">
            <v>ORD_003299</v>
          </cell>
        </row>
        <row r="1793">
          <cell r="A1793" t="str">
            <v>ORD_001330</v>
          </cell>
        </row>
        <row r="1794">
          <cell r="A1794" t="str">
            <v>ORD_001884</v>
          </cell>
        </row>
        <row r="1795">
          <cell r="A1795" t="str">
            <v>ORD_003106</v>
          </cell>
        </row>
        <row r="1796">
          <cell r="A1796" t="str">
            <v>ORD_000119</v>
          </cell>
        </row>
        <row r="1797">
          <cell r="A1797" t="str">
            <v>ORD_002118</v>
          </cell>
        </row>
        <row r="1798">
          <cell r="A1798" t="str">
            <v>ORD_001039</v>
          </cell>
        </row>
        <row r="1799">
          <cell r="A1799" t="str">
            <v>ORD_004027</v>
          </cell>
        </row>
        <row r="1800">
          <cell r="A1800" t="str">
            <v>ORD_003945</v>
          </cell>
        </row>
        <row r="1801">
          <cell r="A1801" t="str">
            <v>ORD_002027</v>
          </cell>
        </row>
        <row r="1802">
          <cell r="A1802" t="str">
            <v>ORD_004221</v>
          </cell>
        </row>
        <row r="1803">
          <cell r="A1803" t="str">
            <v>ORD_001531</v>
          </cell>
        </row>
        <row r="1804">
          <cell r="A1804" t="str">
            <v>ORD_003381</v>
          </cell>
        </row>
        <row r="1805">
          <cell r="A1805" t="str">
            <v>ORD_000671</v>
          </cell>
        </row>
        <row r="1806">
          <cell r="A1806" t="str">
            <v>ORD_002078</v>
          </cell>
        </row>
        <row r="1807">
          <cell r="A1807" t="str">
            <v>ORD_004708</v>
          </cell>
        </row>
        <row r="1808">
          <cell r="A1808" t="str">
            <v>ORD_003881</v>
          </cell>
        </row>
        <row r="1809">
          <cell r="A1809" t="str">
            <v>ORD_001648</v>
          </cell>
        </row>
        <row r="1810">
          <cell r="A1810" t="str">
            <v>ORD_002631</v>
          </cell>
        </row>
        <row r="1811">
          <cell r="A1811" t="str">
            <v>ORD_004846</v>
          </cell>
        </row>
        <row r="1812">
          <cell r="A1812" t="str">
            <v>ORD_001712</v>
          </cell>
        </row>
        <row r="1813">
          <cell r="A1813" t="str">
            <v>ORD_003018</v>
          </cell>
        </row>
        <row r="1814">
          <cell r="A1814" t="str">
            <v>ORD_003291</v>
          </cell>
        </row>
        <row r="1815">
          <cell r="A1815" t="str">
            <v>ORD_004981</v>
          </cell>
        </row>
        <row r="1816">
          <cell r="A1816" t="str">
            <v>ORD_004455</v>
          </cell>
        </row>
        <row r="1817">
          <cell r="A1817" t="str">
            <v>ORD_004938</v>
          </cell>
        </row>
        <row r="1818">
          <cell r="A1818" t="str">
            <v>ORD_000899</v>
          </cell>
        </row>
        <row r="1819">
          <cell r="A1819" t="str">
            <v>ORD_002923</v>
          </cell>
        </row>
        <row r="1820">
          <cell r="A1820" t="str">
            <v>ORD_000896</v>
          </cell>
        </row>
        <row r="1821">
          <cell r="A1821" t="str">
            <v>ORD_001803</v>
          </cell>
        </row>
        <row r="1822">
          <cell r="A1822" t="str">
            <v>ORD_001943</v>
          </cell>
        </row>
        <row r="1823">
          <cell r="A1823" t="str">
            <v>ORD_003999</v>
          </cell>
        </row>
        <row r="1824">
          <cell r="A1824" t="str">
            <v>ORD_001495</v>
          </cell>
        </row>
        <row r="1825">
          <cell r="A1825" t="str">
            <v>ORD_001315</v>
          </cell>
        </row>
        <row r="1826">
          <cell r="A1826" t="str">
            <v>ORD_003308</v>
          </cell>
        </row>
        <row r="1827">
          <cell r="A1827" t="str">
            <v>ORD_000605</v>
          </cell>
        </row>
        <row r="1828">
          <cell r="A1828" t="str">
            <v>ORD_003679</v>
          </cell>
        </row>
        <row r="1829">
          <cell r="A1829" t="str">
            <v>ORD_002273</v>
          </cell>
        </row>
        <row r="1830">
          <cell r="A1830" t="str">
            <v>ORD_002306</v>
          </cell>
        </row>
        <row r="1831">
          <cell r="A1831" t="str">
            <v>ORD_000827</v>
          </cell>
        </row>
        <row r="1832">
          <cell r="A1832" t="str">
            <v>ORD_003812</v>
          </cell>
        </row>
        <row r="1833">
          <cell r="A1833" t="str">
            <v>ORD_003856</v>
          </cell>
        </row>
        <row r="1834">
          <cell r="A1834" t="str">
            <v>ORD_000659</v>
          </cell>
        </row>
        <row r="1835">
          <cell r="A1835" t="str">
            <v>ORD_003197</v>
          </cell>
        </row>
        <row r="1836">
          <cell r="A1836" t="str">
            <v>ORD_003589</v>
          </cell>
        </row>
        <row r="1837">
          <cell r="A1837" t="str">
            <v>ORD_003266</v>
          </cell>
        </row>
        <row r="1838">
          <cell r="A1838" t="str">
            <v>ORD_000618</v>
          </cell>
        </row>
        <row r="1839">
          <cell r="A1839" t="str">
            <v>ORD_001090</v>
          </cell>
        </row>
        <row r="1840">
          <cell r="A1840" t="str">
            <v>ORD_001468</v>
          </cell>
        </row>
        <row r="1841">
          <cell r="A1841" t="str">
            <v>ORD_004182</v>
          </cell>
        </row>
        <row r="1842">
          <cell r="A1842" t="str">
            <v>ORD_002598</v>
          </cell>
        </row>
        <row r="1843">
          <cell r="A1843" t="str">
            <v>ORD_003041</v>
          </cell>
        </row>
        <row r="1844">
          <cell r="A1844" t="str">
            <v>ORD_004109</v>
          </cell>
        </row>
        <row r="1845">
          <cell r="A1845" t="str">
            <v>ORD_000294</v>
          </cell>
        </row>
        <row r="1846">
          <cell r="A1846" t="str">
            <v>ORD_001787</v>
          </cell>
        </row>
        <row r="1847">
          <cell r="A1847" t="str">
            <v>ORD_002549</v>
          </cell>
        </row>
        <row r="1848">
          <cell r="A1848" t="str">
            <v>ORD_001433</v>
          </cell>
        </row>
        <row r="1849">
          <cell r="A1849" t="str">
            <v>ORD_001309</v>
          </cell>
        </row>
        <row r="1850">
          <cell r="A1850" t="str">
            <v>ORD_002142</v>
          </cell>
        </row>
        <row r="1851">
          <cell r="A1851" t="str">
            <v>ORD_002286</v>
          </cell>
        </row>
        <row r="1852">
          <cell r="A1852" t="str">
            <v>ORD_000515</v>
          </cell>
        </row>
        <row r="1853">
          <cell r="A1853" t="str">
            <v>ORD_003620</v>
          </cell>
        </row>
        <row r="1854">
          <cell r="A1854" t="str">
            <v>ORD_003993</v>
          </cell>
        </row>
        <row r="1855">
          <cell r="A1855" t="str">
            <v>ORD_000571</v>
          </cell>
        </row>
        <row r="1856">
          <cell r="A1856" t="str">
            <v>ORD_003009</v>
          </cell>
        </row>
        <row r="1857">
          <cell r="A1857" t="str">
            <v>ORD_004884</v>
          </cell>
        </row>
        <row r="1858">
          <cell r="A1858" t="str">
            <v>ORD_004001</v>
          </cell>
        </row>
        <row r="1859">
          <cell r="A1859" t="str">
            <v>ORD_000812</v>
          </cell>
        </row>
        <row r="1860">
          <cell r="A1860" t="str">
            <v>ORD_002450</v>
          </cell>
        </row>
        <row r="1861">
          <cell r="A1861" t="str">
            <v>ORD_004765</v>
          </cell>
        </row>
        <row r="1862">
          <cell r="A1862" t="str">
            <v>ORD_002271</v>
          </cell>
        </row>
        <row r="1863">
          <cell r="A1863" t="str">
            <v>ORD_003251</v>
          </cell>
        </row>
        <row r="1864">
          <cell r="A1864" t="str">
            <v>ORD_000718</v>
          </cell>
        </row>
        <row r="1865">
          <cell r="A1865" t="str">
            <v>ORD_004483</v>
          </cell>
        </row>
        <row r="1866">
          <cell r="A1866" t="str">
            <v>ORD_000049</v>
          </cell>
        </row>
        <row r="1867">
          <cell r="A1867" t="str">
            <v>ORD_003276</v>
          </cell>
        </row>
        <row r="1868">
          <cell r="A1868" t="str">
            <v>ORD_000868</v>
          </cell>
        </row>
        <row r="1869">
          <cell r="A1869" t="str">
            <v>ORD_002843</v>
          </cell>
        </row>
        <row r="1870">
          <cell r="A1870" t="str">
            <v>ORD_001035</v>
          </cell>
        </row>
        <row r="1871">
          <cell r="A1871" t="str">
            <v>ORD_000900</v>
          </cell>
        </row>
        <row r="1872">
          <cell r="A1872" t="str">
            <v>ORD_003028</v>
          </cell>
        </row>
        <row r="1873">
          <cell r="A1873" t="str">
            <v>ORD_002346</v>
          </cell>
        </row>
        <row r="1874">
          <cell r="A1874" t="str">
            <v>ORD_003689</v>
          </cell>
        </row>
        <row r="1875">
          <cell r="A1875" t="str">
            <v>ORD_002608</v>
          </cell>
        </row>
        <row r="1876">
          <cell r="A1876" t="str">
            <v>ORD_000332</v>
          </cell>
        </row>
        <row r="1877">
          <cell r="A1877" t="str">
            <v>ORD_001910</v>
          </cell>
        </row>
        <row r="1878">
          <cell r="A1878" t="str">
            <v>ORD_001488</v>
          </cell>
        </row>
        <row r="1879">
          <cell r="A1879" t="str">
            <v>ORD_002264</v>
          </cell>
        </row>
        <row r="1880">
          <cell r="A1880" t="str">
            <v>ORD_002994</v>
          </cell>
        </row>
        <row r="1881">
          <cell r="A1881" t="str">
            <v>ORD_002554</v>
          </cell>
        </row>
        <row r="1882">
          <cell r="A1882" t="str">
            <v>ORD_002001</v>
          </cell>
        </row>
        <row r="1883">
          <cell r="A1883" t="str">
            <v>ORD_001670</v>
          </cell>
        </row>
        <row r="1884">
          <cell r="A1884" t="str">
            <v>ORD_002140</v>
          </cell>
        </row>
        <row r="1885">
          <cell r="A1885" t="str">
            <v>ORD_000278</v>
          </cell>
        </row>
        <row r="1886">
          <cell r="A1886" t="str">
            <v>ORD_000990</v>
          </cell>
        </row>
        <row r="1887">
          <cell r="A1887" t="str">
            <v>ORD_001413</v>
          </cell>
        </row>
        <row r="1888">
          <cell r="A1888" t="str">
            <v>ORD_003874</v>
          </cell>
        </row>
        <row r="1889">
          <cell r="A1889" t="str">
            <v>ORD_001150</v>
          </cell>
        </row>
        <row r="1890">
          <cell r="A1890" t="str">
            <v>ORD_002022</v>
          </cell>
        </row>
        <row r="1891">
          <cell r="A1891" t="str">
            <v>ORD_002887</v>
          </cell>
        </row>
        <row r="1892">
          <cell r="A1892" t="str">
            <v>ORD_002326</v>
          </cell>
        </row>
        <row r="1893">
          <cell r="A1893" t="str">
            <v>ORD_001046</v>
          </cell>
        </row>
        <row r="1894">
          <cell r="A1894" t="str">
            <v>ORD_000192</v>
          </cell>
        </row>
        <row r="1895">
          <cell r="A1895" t="str">
            <v>ORD_000044</v>
          </cell>
        </row>
        <row r="1896">
          <cell r="A1896" t="str">
            <v>ORD_004148</v>
          </cell>
        </row>
        <row r="1897">
          <cell r="A1897" t="str">
            <v>ORD_004491</v>
          </cell>
        </row>
        <row r="1898">
          <cell r="A1898" t="str">
            <v>ORD_000497</v>
          </cell>
        </row>
        <row r="1899">
          <cell r="A1899" t="str">
            <v>ORD_004170</v>
          </cell>
        </row>
        <row r="1900">
          <cell r="A1900" t="str">
            <v>ORD_004553</v>
          </cell>
        </row>
        <row r="1901">
          <cell r="A1901" t="str">
            <v>ORD_002243</v>
          </cell>
        </row>
        <row r="1902">
          <cell r="A1902" t="str">
            <v>ORD_003115</v>
          </cell>
        </row>
        <row r="1903">
          <cell r="A1903" t="str">
            <v>ORD_002053</v>
          </cell>
        </row>
        <row r="1904">
          <cell r="A1904" t="str">
            <v>ORD_000056</v>
          </cell>
        </row>
        <row r="1905">
          <cell r="A1905" t="str">
            <v>ORD_000630</v>
          </cell>
        </row>
        <row r="1906">
          <cell r="A1906" t="str">
            <v>ORD_002539</v>
          </cell>
        </row>
        <row r="1907">
          <cell r="A1907" t="str">
            <v>ORD_002791</v>
          </cell>
        </row>
        <row r="1908">
          <cell r="A1908" t="str">
            <v>ORD_003420</v>
          </cell>
        </row>
        <row r="1909">
          <cell r="A1909" t="str">
            <v>ORD_003552</v>
          </cell>
        </row>
        <row r="1910">
          <cell r="A1910" t="str">
            <v>ORD_002896</v>
          </cell>
        </row>
        <row r="1911">
          <cell r="A1911" t="str">
            <v>ORD_003158</v>
          </cell>
        </row>
        <row r="1912">
          <cell r="A1912" t="str">
            <v>ORD_001086</v>
          </cell>
        </row>
        <row r="1913">
          <cell r="A1913" t="str">
            <v>ORD_004135</v>
          </cell>
        </row>
        <row r="1914">
          <cell r="A1914" t="str">
            <v>ORD_001574</v>
          </cell>
        </row>
        <row r="1915">
          <cell r="A1915" t="str">
            <v>ORD_001432</v>
          </cell>
        </row>
        <row r="1916">
          <cell r="A1916" t="str">
            <v>ORD_002734</v>
          </cell>
        </row>
        <row r="1917">
          <cell r="A1917" t="str">
            <v>ORD_004878</v>
          </cell>
        </row>
        <row r="1918">
          <cell r="A1918" t="str">
            <v>ORD_003167</v>
          </cell>
        </row>
        <row r="1919">
          <cell r="A1919" t="str">
            <v>ORD_000982</v>
          </cell>
        </row>
        <row r="1920">
          <cell r="A1920" t="str">
            <v>ORD_004747</v>
          </cell>
        </row>
        <row r="1921">
          <cell r="A1921" t="str">
            <v>ORD_002816</v>
          </cell>
        </row>
        <row r="1922">
          <cell r="A1922" t="str">
            <v>ORD_003867</v>
          </cell>
        </row>
        <row r="1923">
          <cell r="A1923" t="str">
            <v>ORD_003477</v>
          </cell>
        </row>
        <row r="1924">
          <cell r="A1924" t="str">
            <v>ORD_004238</v>
          </cell>
        </row>
        <row r="1925">
          <cell r="A1925" t="str">
            <v>ORD_004154</v>
          </cell>
        </row>
        <row r="1926">
          <cell r="A1926" t="str">
            <v>ORD_003145</v>
          </cell>
        </row>
        <row r="1927">
          <cell r="A1927" t="str">
            <v>ORD_000461</v>
          </cell>
        </row>
        <row r="1928">
          <cell r="A1928" t="str">
            <v>ORD_003452</v>
          </cell>
        </row>
        <row r="1929">
          <cell r="A1929" t="str">
            <v>ORD_004361</v>
          </cell>
        </row>
        <row r="1930">
          <cell r="A1930" t="str">
            <v>ORD_002432</v>
          </cell>
        </row>
        <row r="1931">
          <cell r="A1931" t="str">
            <v>ORD_002153</v>
          </cell>
        </row>
        <row r="1932">
          <cell r="A1932" t="str">
            <v>ORD_004146</v>
          </cell>
        </row>
        <row r="1933">
          <cell r="A1933" t="str">
            <v>ORD_001307</v>
          </cell>
        </row>
        <row r="1934">
          <cell r="A1934" t="str">
            <v>ORD_002154</v>
          </cell>
        </row>
        <row r="1935">
          <cell r="A1935" t="str">
            <v>ORD_002642</v>
          </cell>
        </row>
        <row r="1936">
          <cell r="A1936" t="str">
            <v>ORD_002002</v>
          </cell>
        </row>
        <row r="1937">
          <cell r="A1937" t="str">
            <v>ORD_004590</v>
          </cell>
        </row>
        <row r="1938">
          <cell r="A1938" t="str">
            <v>ORD_004610</v>
          </cell>
        </row>
        <row r="1939">
          <cell r="A1939" t="str">
            <v>ORD_000916</v>
          </cell>
        </row>
        <row r="1940">
          <cell r="A1940" t="str">
            <v>ORD_001969</v>
          </cell>
        </row>
        <row r="1941">
          <cell r="A1941" t="str">
            <v>ORD_000611</v>
          </cell>
        </row>
        <row r="1942">
          <cell r="A1942" t="str">
            <v>ORD_004376</v>
          </cell>
        </row>
        <row r="1943">
          <cell r="A1943" t="str">
            <v>ORD_002291</v>
          </cell>
        </row>
        <row r="1944">
          <cell r="A1944" t="str">
            <v>ORD_004392</v>
          </cell>
        </row>
        <row r="1945">
          <cell r="A1945" t="str">
            <v>ORD_000594</v>
          </cell>
        </row>
        <row r="1946">
          <cell r="A1946" t="str">
            <v>ORD_002647</v>
          </cell>
        </row>
        <row r="1947">
          <cell r="A1947" t="str">
            <v>ORD_004239</v>
          </cell>
        </row>
        <row r="1948">
          <cell r="A1948" t="str">
            <v>ORD_001958</v>
          </cell>
        </row>
        <row r="1949">
          <cell r="A1949" t="str">
            <v>ORD_001619</v>
          </cell>
        </row>
        <row r="1950">
          <cell r="A1950" t="str">
            <v>ORD_003702</v>
          </cell>
        </row>
        <row r="1951">
          <cell r="A1951" t="str">
            <v>ORD_002945</v>
          </cell>
        </row>
        <row r="1952">
          <cell r="A1952" t="str">
            <v>ORD_001091</v>
          </cell>
        </row>
        <row r="1953">
          <cell r="A1953" t="str">
            <v>ORD_002202</v>
          </cell>
        </row>
        <row r="1954">
          <cell r="A1954" t="str">
            <v>ORD_002552</v>
          </cell>
        </row>
        <row r="1955">
          <cell r="A1955" t="str">
            <v>ORD_002508</v>
          </cell>
        </row>
        <row r="1956">
          <cell r="A1956" t="str">
            <v>ORD_000847</v>
          </cell>
        </row>
        <row r="1957">
          <cell r="A1957" t="str">
            <v>ORD_000553</v>
          </cell>
        </row>
        <row r="1958">
          <cell r="A1958" t="str">
            <v>ORD_003117</v>
          </cell>
        </row>
        <row r="1959">
          <cell r="A1959" t="str">
            <v>ORD_000318</v>
          </cell>
        </row>
        <row r="1960">
          <cell r="A1960" t="str">
            <v>ORD_002095</v>
          </cell>
        </row>
        <row r="1961">
          <cell r="A1961" t="str">
            <v>ORD_001043</v>
          </cell>
        </row>
        <row r="1962">
          <cell r="A1962" t="str">
            <v>ORD_003939</v>
          </cell>
        </row>
        <row r="1963">
          <cell r="A1963" t="str">
            <v>ORD_001947</v>
          </cell>
        </row>
        <row r="1964">
          <cell r="A1964" t="str">
            <v>ORD_003773</v>
          </cell>
        </row>
        <row r="1965">
          <cell r="A1965" t="str">
            <v>ORD_000096</v>
          </cell>
        </row>
        <row r="1966">
          <cell r="A1966" t="str">
            <v>ORD_004098</v>
          </cell>
        </row>
        <row r="1967">
          <cell r="A1967" t="str">
            <v>ORD_004986</v>
          </cell>
        </row>
        <row r="1968">
          <cell r="A1968" t="str">
            <v>ORD_003889</v>
          </cell>
        </row>
        <row r="1969">
          <cell r="A1969" t="str">
            <v>ORD_002592</v>
          </cell>
        </row>
        <row r="1970">
          <cell r="A1970" t="str">
            <v>ORD_002536</v>
          </cell>
        </row>
        <row r="1971">
          <cell r="A1971" t="str">
            <v>ORD_004959</v>
          </cell>
        </row>
        <row r="1972">
          <cell r="A1972" t="str">
            <v>ORD_004468</v>
          </cell>
        </row>
        <row r="1973">
          <cell r="A1973" t="str">
            <v>ORD_001535</v>
          </cell>
        </row>
        <row r="1974">
          <cell r="A1974" t="str">
            <v>ORD_001592</v>
          </cell>
        </row>
        <row r="1975">
          <cell r="A1975" t="str">
            <v>ORD_000547</v>
          </cell>
        </row>
        <row r="1976">
          <cell r="A1976" t="str">
            <v>ORD_003645</v>
          </cell>
        </row>
        <row r="1977">
          <cell r="A1977" t="str">
            <v>ORD_001823</v>
          </cell>
        </row>
        <row r="1978">
          <cell r="A1978" t="str">
            <v>ORD_001769</v>
          </cell>
        </row>
        <row r="1979">
          <cell r="A1979" t="str">
            <v>ORD_004290</v>
          </cell>
        </row>
        <row r="1980">
          <cell r="A1980" t="str">
            <v>ORD_000054</v>
          </cell>
        </row>
        <row r="1981">
          <cell r="A1981" t="str">
            <v>ORD_003978</v>
          </cell>
        </row>
        <row r="1982">
          <cell r="A1982" t="str">
            <v>ORD_001124</v>
          </cell>
        </row>
        <row r="1983">
          <cell r="A1983" t="str">
            <v>ORD_004520</v>
          </cell>
        </row>
        <row r="1984">
          <cell r="A1984" t="str">
            <v>ORD_002760</v>
          </cell>
        </row>
        <row r="1985">
          <cell r="A1985" t="str">
            <v>ORD_003923</v>
          </cell>
        </row>
        <row r="1986">
          <cell r="A1986" t="str">
            <v>ORD_003316</v>
          </cell>
        </row>
        <row r="1987">
          <cell r="A1987" t="str">
            <v>ORD_004657</v>
          </cell>
        </row>
        <row r="1988">
          <cell r="A1988" t="str">
            <v>ORD_004779</v>
          </cell>
        </row>
        <row r="1989">
          <cell r="A1989" t="str">
            <v>ORD_003917</v>
          </cell>
        </row>
        <row r="1990">
          <cell r="A1990" t="str">
            <v>ORD_003648</v>
          </cell>
        </row>
        <row r="1991">
          <cell r="A1991" t="str">
            <v>ORD_002517</v>
          </cell>
        </row>
        <row r="1992">
          <cell r="A1992" t="str">
            <v>ORD_004086</v>
          </cell>
        </row>
        <row r="1993">
          <cell r="A1993" t="str">
            <v>ORD_001346</v>
          </cell>
        </row>
        <row r="1994">
          <cell r="A1994" t="str">
            <v>ORD_000156</v>
          </cell>
        </row>
        <row r="1995">
          <cell r="A1995" t="str">
            <v>ORD_001843</v>
          </cell>
        </row>
        <row r="1996">
          <cell r="A1996" t="str">
            <v>ORD_002749</v>
          </cell>
        </row>
        <row r="1997">
          <cell r="A1997" t="str">
            <v>ORD_002974</v>
          </cell>
        </row>
        <row r="1998">
          <cell r="A1998" t="str">
            <v>ORD_000073</v>
          </cell>
        </row>
        <row r="1999">
          <cell r="A1999" t="str">
            <v>ORD_000998</v>
          </cell>
        </row>
        <row r="2000">
          <cell r="A2000" t="str">
            <v>ORD_003368</v>
          </cell>
        </row>
        <row r="2001">
          <cell r="A2001" t="str">
            <v>ORD_002320</v>
          </cell>
        </row>
        <row r="2002">
          <cell r="A2002" t="str">
            <v>ORD_002125</v>
          </cell>
        </row>
        <row r="2003">
          <cell r="A2003" t="str">
            <v>ORD_001763</v>
          </cell>
        </row>
        <row r="2004">
          <cell r="A2004" t="str">
            <v>ORD_002322</v>
          </cell>
        </row>
        <row r="2005">
          <cell r="A2005" t="str">
            <v>ORD_002678</v>
          </cell>
        </row>
        <row r="2006">
          <cell r="A2006" t="str">
            <v>ORD_000229</v>
          </cell>
        </row>
        <row r="2007">
          <cell r="A2007" t="str">
            <v>ORD_004033</v>
          </cell>
        </row>
        <row r="2008">
          <cell r="A2008" t="str">
            <v>ORD_004805</v>
          </cell>
        </row>
        <row r="2009">
          <cell r="A2009" t="str">
            <v>ORD_000655</v>
          </cell>
        </row>
        <row r="2010">
          <cell r="A2010" t="str">
            <v>ORD_000543</v>
          </cell>
        </row>
        <row r="2011">
          <cell r="A2011" t="str">
            <v>ORD_001643</v>
          </cell>
        </row>
        <row r="2012">
          <cell r="A2012" t="str">
            <v>ORD_000093</v>
          </cell>
        </row>
        <row r="2013">
          <cell r="A2013" t="str">
            <v>ORD_002658</v>
          </cell>
        </row>
        <row r="2014">
          <cell r="A2014" t="str">
            <v>ORD_002258</v>
          </cell>
        </row>
        <row r="2015">
          <cell r="A2015" t="str">
            <v>ORD_002366</v>
          </cell>
        </row>
        <row r="2016">
          <cell r="A2016" t="str">
            <v>ORD_004339</v>
          </cell>
        </row>
        <row r="2017">
          <cell r="A2017" t="str">
            <v>ORD_001657</v>
          </cell>
        </row>
        <row r="2018">
          <cell r="A2018" t="str">
            <v>ORD_002677</v>
          </cell>
        </row>
        <row r="2019">
          <cell r="A2019" t="str">
            <v>ORD_004665</v>
          </cell>
        </row>
        <row r="2020">
          <cell r="A2020" t="str">
            <v>ORD_002694</v>
          </cell>
        </row>
        <row r="2021">
          <cell r="A2021" t="str">
            <v>ORD_001686</v>
          </cell>
        </row>
        <row r="2022">
          <cell r="A2022" t="str">
            <v>ORD_002996</v>
          </cell>
        </row>
        <row r="2023">
          <cell r="A2023" t="str">
            <v>ORD_002964</v>
          </cell>
        </row>
        <row r="2024">
          <cell r="A2024" t="str">
            <v>ORD_002967</v>
          </cell>
        </row>
        <row r="2025">
          <cell r="A2025" t="str">
            <v>ORD_004220</v>
          </cell>
        </row>
        <row r="2026">
          <cell r="A2026" t="str">
            <v>ORD_001972</v>
          </cell>
        </row>
        <row r="2027">
          <cell r="A2027" t="str">
            <v>ORD_002210</v>
          </cell>
        </row>
        <row r="2028">
          <cell r="A2028" t="str">
            <v>ORD_004851</v>
          </cell>
        </row>
        <row r="2029">
          <cell r="A2029" t="str">
            <v>ORD_000942</v>
          </cell>
        </row>
        <row r="2030">
          <cell r="A2030" t="str">
            <v>ORD_004452</v>
          </cell>
        </row>
        <row r="2031">
          <cell r="A2031" t="str">
            <v>ORD_004785</v>
          </cell>
        </row>
        <row r="2032">
          <cell r="A2032" t="str">
            <v>ORD_001766</v>
          </cell>
        </row>
        <row r="2033">
          <cell r="A2033" t="str">
            <v>ORD_002613</v>
          </cell>
        </row>
        <row r="2034">
          <cell r="A2034" t="str">
            <v>ORD_003335</v>
          </cell>
        </row>
        <row r="2035">
          <cell r="A2035" t="str">
            <v>ORD_004570</v>
          </cell>
        </row>
        <row r="2036">
          <cell r="A2036" t="str">
            <v>ORD_003040</v>
          </cell>
        </row>
        <row r="2037">
          <cell r="A2037" t="str">
            <v>ORD_002386</v>
          </cell>
        </row>
        <row r="2038">
          <cell r="A2038" t="str">
            <v>ORD_004861</v>
          </cell>
        </row>
        <row r="2039">
          <cell r="A2039" t="str">
            <v>ORD_002763</v>
          </cell>
        </row>
        <row r="2040">
          <cell r="A2040" t="str">
            <v>ORD_001695</v>
          </cell>
        </row>
        <row r="2041">
          <cell r="A2041" t="str">
            <v>ORD_002602</v>
          </cell>
        </row>
        <row r="2042">
          <cell r="A2042" t="str">
            <v>ORD_001082</v>
          </cell>
        </row>
        <row r="2043">
          <cell r="A2043" t="str">
            <v>ORD_002900</v>
          </cell>
        </row>
        <row r="2044">
          <cell r="A2044" t="str">
            <v>ORD_000095</v>
          </cell>
        </row>
        <row r="2045">
          <cell r="A2045" t="str">
            <v>ORD_000986</v>
          </cell>
        </row>
        <row r="2046">
          <cell r="A2046" t="str">
            <v>ORD_001757</v>
          </cell>
        </row>
        <row r="2047">
          <cell r="A2047" t="str">
            <v>ORD_003660</v>
          </cell>
        </row>
        <row r="2048">
          <cell r="A2048" t="str">
            <v>ORD_002024</v>
          </cell>
        </row>
        <row r="2049">
          <cell r="A2049" t="str">
            <v>ORD_000535</v>
          </cell>
        </row>
        <row r="2050">
          <cell r="A2050" t="str">
            <v>ORD_003594</v>
          </cell>
        </row>
        <row r="2051">
          <cell r="A2051" t="str">
            <v>ORD_000465</v>
          </cell>
        </row>
        <row r="2052">
          <cell r="A2052" t="str">
            <v>ORD_002686</v>
          </cell>
        </row>
        <row r="2053">
          <cell r="A2053" t="str">
            <v>ORD_001737</v>
          </cell>
        </row>
        <row r="2054">
          <cell r="A2054" t="str">
            <v>ORD_002259</v>
          </cell>
        </row>
        <row r="2055">
          <cell r="A2055" t="str">
            <v>ORD_004755</v>
          </cell>
        </row>
        <row r="2056">
          <cell r="A2056" t="str">
            <v>ORD_004523</v>
          </cell>
        </row>
        <row r="2057">
          <cell r="A2057" t="str">
            <v>ORD_002687</v>
          </cell>
        </row>
        <row r="2058">
          <cell r="A2058" t="str">
            <v>ORD_001935</v>
          </cell>
        </row>
        <row r="2059">
          <cell r="A2059" t="str">
            <v>ORD_002410</v>
          </cell>
        </row>
        <row r="2060">
          <cell r="A2060" t="str">
            <v>ORD_004910</v>
          </cell>
        </row>
        <row r="2061">
          <cell r="A2061" t="str">
            <v>ORD_001704</v>
          </cell>
        </row>
        <row r="2062">
          <cell r="A2062" t="str">
            <v>ORD_004827</v>
          </cell>
        </row>
        <row r="2063">
          <cell r="A2063" t="str">
            <v>ORD_002438</v>
          </cell>
        </row>
        <row r="2064">
          <cell r="A2064" t="str">
            <v>ORD_002442</v>
          </cell>
        </row>
        <row r="2065">
          <cell r="A2065" t="str">
            <v>ORD_001536</v>
          </cell>
        </row>
        <row r="2066">
          <cell r="A2066" t="str">
            <v>ORD_004126</v>
          </cell>
        </row>
        <row r="2067">
          <cell r="A2067" t="str">
            <v>ORD_002532</v>
          </cell>
        </row>
        <row r="2068">
          <cell r="A2068" t="str">
            <v>ORD_001922</v>
          </cell>
        </row>
        <row r="2069">
          <cell r="A2069" t="str">
            <v>ORD_003438</v>
          </cell>
        </row>
        <row r="2070">
          <cell r="A2070" t="str">
            <v>ORD_004260</v>
          </cell>
        </row>
        <row r="2071">
          <cell r="A2071" t="str">
            <v>ORD_000217</v>
          </cell>
        </row>
        <row r="2072">
          <cell r="A2072" t="str">
            <v>ORD_003778</v>
          </cell>
        </row>
        <row r="2073">
          <cell r="A2073" t="str">
            <v>ORD_000270</v>
          </cell>
        </row>
        <row r="2074">
          <cell r="A2074" t="str">
            <v>ORD_002992</v>
          </cell>
        </row>
        <row r="2075">
          <cell r="A2075" t="str">
            <v>ORD_003345</v>
          </cell>
        </row>
        <row r="2076">
          <cell r="A2076" t="str">
            <v>ORD_003734</v>
          </cell>
        </row>
        <row r="2077">
          <cell r="A2077" t="str">
            <v>ORD_000959</v>
          </cell>
        </row>
        <row r="2078">
          <cell r="A2078" t="str">
            <v>ORD_003564</v>
          </cell>
        </row>
        <row r="2079">
          <cell r="A2079" t="str">
            <v>ORD_003110</v>
          </cell>
        </row>
        <row r="2080">
          <cell r="A2080" t="str">
            <v>ORD_004438</v>
          </cell>
        </row>
        <row r="2081">
          <cell r="A2081" t="str">
            <v>ORD_004028</v>
          </cell>
        </row>
        <row r="2082">
          <cell r="A2082" t="str">
            <v>ORD_003891</v>
          </cell>
        </row>
        <row r="2083">
          <cell r="A2083" t="str">
            <v>ORD_002303</v>
          </cell>
        </row>
        <row r="2084">
          <cell r="A2084" t="str">
            <v>ORD_003443</v>
          </cell>
        </row>
        <row r="2085">
          <cell r="A2085" t="str">
            <v>ORD_002019</v>
          </cell>
        </row>
        <row r="2086">
          <cell r="A2086" t="str">
            <v>ORD_004888</v>
          </cell>
        </row>
        <row r="2087">
          <cell r="A2087" t="str">
            <v>ORD_002352</v>
          </cell>
        </row>
        <row r="2088">
          <cell r="A2088" t="str">
            <v>ORD_001437</v>
          </cell>
        </row>
        <row r="2089">
          <cell r="A2089" t="str">
            <v>ORD_000065</v>
          </cell>
        </row>
        <row r="2090">
          <cell r="A2090" t="str">
            <v>ORD_004071</v>
          </cell>
        </row>
        <row r="2091">
          <cell r="A2091" t="str">
            <v>ORD_003442</v>
          </cell>
        </row>
        <row r="2092">
          <cell r="A2092" t="str">
            <v>ORD_003602</v>
          </cell>
        </row>
        <row r="2093">
          <cell r="A2093" t="str">
            <v>ORD_003798</v>
          </cell>
        </row>
        <row r="2094">
          <cell r="A2094" t="str">
            <v>ORD_000052</v>
          </cell>
        </row>
        <row r="2095">
          <cell r="A2095" t="str">
            <v>ORD_003797</v>
          </cell>
        </row>
        <row r="2096">
          <cell r="A2096" t="str">
            <v>ORD_003155</v>
          </cell>
        </row>
        <row r="2097">
          <cell r="A2097" t="str">
            <v>ORD_003909</v>
          </cell>
        </row>
        <row r="2098">
          <cell r="A2098" t="str">
            <v>ORD_003641</v>
          </cell>
        </row>
        <row r="2099">
          <cell r="A2099" t="str">
            <v>ORD_000903</v>
          </cell>
        </row>
        <row r="2100">
          <cell r="A2100" t="str">
            <v>ORD_002086</v>
          </cell>
        </row>
        <row r="2101">
          <cell r="A2101" t="str">
            <v>ORD_003961</v>
          </cell>
        </row>
        <row r="2102">
          <cell r="A2102" t="str">
            <v>ORD_003996</v>
          </cell>
        </row>
        <row r="2103">
          <cell r="A2103" t="str">
            <v>ORD_001500</v>
          </cell>
        </row>
        <row r="2104">
          <cell r="A2104" t="str">
            <v>ORD_003897</v>
          </cell>
        </row>
        <row r="2105">
          <cell r="A2105" t="str">
            <v>ORD_000844</v>
          </cell>
        </row>
        <row r="2106">
          <cell r="A2106" t="str">
            <v>ORD_000088</v>
          </cell>
        </row>
        <row r="2107">
          <cell r="A2107" t="str">
            <v>ORD_001184</v>
          </cell>
        </row>
        <row r="2108">
          <cell r="A2108" t="str">
            <v>ORD_003073</v>
          </cell>
        </row>
        <row r="2109">
          <cell r="A2109" t="str">
            <v>ORD_000895</v>
          </cell>
        </row>
        <row r="2110">
          <cell r="A2110" t="str">
            <v>ORD_000680</v>
          </cell>
        </row>
        <row r="2111">
          <cell r="A2111" t="str">
            <v>ORD_003681</v>
          </cell>
        </row>
        <row r="2112">
          <cell r="A2112" t="str">
            <v>ORD_001034</v>
          </cell>
        </row>
        <row r="2113">
          <cell r="A2113" t="str">
            <v>ORD_000112</v>
          </cell>
        </row>
        <row r="2114">
          <cell r="A2114" t="str">
            <v>ORD_000373</v>
          </cell>
        </row>
        <row r="2115">
          <cell r="A2115" t="str">
            <v>ORD_003472</v>
          </cell>
        </row>
        <row r="2116">
          <cell r="A2116" t="str">
            <v>ORD_003439</v>
          </cell>
        </row>
        <row r="2117">
          <cell r="A2117" t="str">
            <v>ORD_001456</v>
          </cell>
        </row>
        <row r="2118">
          <cell r="A2118" t="str">
            <v>ORD_002394</v>
          </cell>
        </row>
        <row r="2119">
          <cell r="A2119" t="str">
            <v>ORD_001551</v>
          </cell>
        </row>
        <row r="2120">
          <cell r="A2120" t="str">
            <v>ORD_004573</v>
          </cell>
        </row>
        <row r="2121">
          <cell r="A2121" t="str">
            <v>ORD_001590</v>
          </cell>
        </row>
        <row r="2122">
          <cell r="A2122" t="str">
            <v>ORD_000175</v>
          </cell>
        </row>
        <row r="2123">
          <cell r="A2123" t="str">
            <v>ORD_001885</v>
          </cell>
        </row>
        <row r="2124">
          <cell r="A2124" t="str">
            <v>ORD_000585</v>
          </cell>
        </row>
        <row r="2125">
          <cell r="A2125" t="str">
            <v>ORD_003555</v>
          </cell>
        </row>
        <row r="2126">
          <cell r="A2126" t="str">
            <v>ORD_001701</v>
          </cell>
        </row>
        <row r="2127">
          <cell r="A2127" t="str">
            <v>ORD_004609</v>
          </cell>
        </row>
        <row r="2128">
          <cell r="A2128" t="str">
            <v>ORD_003303</v>
          </cell>
        </row>
        <row r="2129">
          <cell r="A2129" t="str">
            <v>ORD_000744</v>
          </cell>
        </row>
        <row r="2130">
          <cell r="A2130" t="str">
            <v>ORD_001445</v>
          </cell>
        </row>
        <row r="2131">
          <cell r="A2131" t="str">
            <v>ORD_002915</v>
          </cell>
        </row>
        <row r="2132">
          <cell r="A2132" t="str">
            <v>ORD_004563</v>
          </cell>
        </row>
        <row r="2133">
          <cell r="A2133" t="str">
            <v>ORD_002221</v>
          </cell>
        </row>
        <row r="2134">
          <cell r="A2134" t="str">
            <v>ORD_004269</v>
          </cell>
        </row>
        <row r="2135">
          <cell r="A2135" t="str">
            <v>ORD_003857</v>
          </cell>
        </row>
        <row r="2136">
          <cell r="A2136" t="str">
            <v>ORD_004296</v>
          </cell>
        </row>
        <row r="2137">
          <cell r="A2137" t="str">
            <v>ORD_004806</v>
          </cell>
        </row>
        <row r="2138">
          <cell r="A2138" t="str">
            <v>ORD_001399</v>
          </cell>
        </row>
        <row r="2139">
          <cell r="A2139" t="str">
            <v>ORD_001585</v>
          </cell>
        </row>
        <row r="2140">
          <cell r="A2140" t="str">
            <v>ORD_002679</v>
          </cell>
        </row>
        <row r="2141">
          <cell r="A2141" t="str">
            <v>ORD_000819</v>
          </cell>
        </row>
        <row r="2142">
          <cell r="A2142" t="str">
            <v>ORD_001457</v>
          </cell>
        </row>
        <row r="2143">
          <cell r="A2143" t="str">
            <v>ORD_002607</v>
          </cell>
        </row>
        <row r="2144">
          <cell r="A2144" t="str">
            <v>ORD_002978</v>
          </cell>
        </row>
        <row r="2145">
          <cell r="A2145" t="str">
            <v>ORD_000638</v>
          </cell>
        </row>
        <row r="2146">
          <cell r="A2146" t="str">
            <v>ORD_002440</v>
          </cell>
        </row>
        <row r="2147">
          <cell r="A2147" t="str">
            <v>ORD_003947</v>
          </cell>
        </row>
        <row r="2148">
          <cell r="A2148" t="str">
            <v>ORD_004648</v>
          </cell>
        </row>
        <row r="2149">
          <cell r="A2149" t="str">
            <v>ORD_000174</v>
          </cell>
        </row>
        <row r="2150">
          <cell r="A2150" t="str">
            <v>ORD_002277</v>
          </cell>
        </row>
        <row r="2151">
          <cell r="A2151" t="str">
            <v>ORD_002261</v>
          </cell>
        </row>
        <row r="2152">
          <cell r="A2152" t="str">
            <v>ORD_004660</v>
          </cell>
        </row>
        <row r="2153">
          <cell r="A2153" t="str">
            <v>ORD_001735</v>
          </cell>
        </row>
        <row r="2154">
          <cell r="A2154" t="str">
            <v>ORD_003585</v>
          </cell>
        </row>
        <row r="2155">
          <cell r="A2155" t="str">
            <v>ORD_002531</v>
          </cell>
        </row>
        <row r="2156">
          <cell r="A2156" t="str">
            <v>ORD_002706</v>
          </cell>
        </row>
        <row r="2157">
          <cell r="A2157" t="str">
            <v>ORD_003951</v>
          </cell>
        </row>
        <row r="2158">
          <cell r="A2158" t="str">
            <v>ORD_004264</v>
          </cell>
        </row>
        <row r="2159">
          <cell r="A2159" t="str">
            <v>ORD_004233</v>
          </cell>
        </row>
        <row r="2160">
          <cell r="A2160" t="str">
            <v>ORD_003853</v>
          </cell>
        </row>
        <row r="2161">
          <cell r="A2161" t="str">
            <v>ORD_003915</v>
          </cell>
        </row>
        <row r="2162">
          <cell r="A2162" t="str">
            <v>ORD_004203</v>
          </cell>
        </row>
        <row r="2163">
          <cell r="A2163" t="str">
            <v>ORD_000835</v>
          </cell>
        </row>
        <row r="2164">
          <cell r="A2164" t="str">
            <v>ORD_002526</v>
          </cell>
        </row>
        <row r="2165">
          <cell r="A2165" t="str">
            <v>ORD_000867</v>
          </cell>
        </row>
        <row r="2166">
          <cell r="A2166" t="str">
            <v>ORD_000375</v>
          </cell>
        </row>
        <row r="2167">
          <cell r="A2167" t="str">
            <v>ORD_000850</v>
          </cell>
        </row>
        <row r="2168">
          <cell r="A2168" t="str">
            <v>ORD_002296</v>
          </cell>
        </row>
        <row r="2169">
          <cell r="A2169" t="str">
            <v>ORD_004709</v>
          </cell>
        </row>
        <row r="2170">
          <cell r="A2170" t="str">
            <v>ORD_004127</v>
          </cell>
        </row>
        <row r="2171">
          <cell r="A2171" t="str">
            <v>ORD_004640</v>
          </cell>
        </row>
        <row r="2172">
          <cell r="A2172" t="str">
            <v>ORD_004235</v>
          </cell>
        </row>
        <row r="2173">
          <cell r="A2173" t="str">
            <v>ORD_004934</v>
          </cell>
        </row>
        <row r="2174">
          <cell r="A2174" t="str">
            <v>ORD_004032</v>
          </cell>
        </row>
        <row r="2175">
          <cell r="A2175" t="str">
            <v>ORD_003456</v>
          </cell>
        </row>
        <row r="2176">
          <cell r="A2176" t="str">
            <v>ORD_004430</v>
          </cell>
        </row>
        <row r="2177">
          <cell r="A2177" t="str">
            <v>ORD_000881</v>
          </cell>
        </row>
        <row r="2178">
          <cell r="A2178" t="str">
            <v>ORD_003022</v>
          </cell>
        </row>
        <row r="2179">
          <cell r="A2179" t="str">
            <v>ORD_002991</v>
          </cell>
        </row>
        <row r="2180">
          <cell r="A2180" t="str">
            <v>ORD_004920</v>
          </cell>
        </row>
        <row r="2181">
          <cell r="A2181" t="str">
            <v>ORD_002939</v>
          </cell>
        </row>
        <row r="2182">
          <cell r="A2182" t="str">
            <v>ORD_003156</v>
          </cell>
        </row>
        <row r="2183">
          <cell r="A2183" t="str">
            <v>ORD_000140</v>
          </cell>
        </row>
        <row r="2184">
          <cell r="A2184" t="str">
            <v>ORD_003992</v>
          </cell>
        </row>
        <row r="2185">
          <cell r="A2185" t="str">
            <v>ORD_004195</v>
          </cell>
        </row>
        <row r="2186">
          <cell r="A2186" t="str">
            <v>ORD_003410</v>
          </cell>
        </row>
        <row r="2187">
          <cell r="A2187" t="str">
            <v>ORD_001689</v>
          </cell>
        </row>
        <row r="2188">
          <cell r="A2188" t="str">
            <v>ORD_002436</v>
          </cell>
        </row>
        <row r="2189">
          <cell r="A2189" t="str">
            <v>ORD_004528</v>
          </cell>
        </row>
        <row r="2190">
          <cell r="A2190" t="str">
            <v>ORD_002066</v>
          </cell>
        </row>
        <row r="2191">
          <cell r="A2191" t="str">
            <v>ORD_002136</v>
          </cell>
        </row>
        <row r="2192">
          <cell r="A2192" t="str">
            <v>ORD_004987</v>
          </cell>
        </row>
        <row r="2193">
          <cell r="A2193" t="str">
            <v>ORD_001600</v>
          </cell>
        </row>
        <row r="2194">
          <cell r="A2194" t="str">
            <v>ORD_000441</v>
          </cell>
        </row>
        <row r="2195">
          <cell r="A2195" t="str">
            <v>ORD_003237</v>
          </cell>
        </row>
        <row r="2196">
          <cell r="A2196" t="str">
            <v>ORD_004017</v>
          </cell>
        </row>
        <row r="2197">
          <cell r="A2197" t="str">
            <v>ORD_001771</v>
          </cell>
        </row>
        <row r="2198">
          <cell r="A2198" t="str">
            <v>ORD_002772</v>
          </cell>
        </row>
        <row r="2199">
          <cell r="A2199" t="str">
            <v>ORD_002695</v>
          </cell>
        </row>
        <row r="2200">
          <cell r="A2200" t="str">
            <v>ORD_004682</v>
          </cell>
        </row>
        <row r="2201">
          <cell r="A2201" t="str">
            <v>ORD_001682</v>
          </cell>
        </row>
        <row r="2202">
          <cell r="A2202" t="str">
            <v>ORD_002582</v>
          </cell>
        </row>
        <row r="2203">
          <cell r="A2203" t="str">
            <v>ORD_004473</v>
          </cell>
        </row>
        <row r="2204">
          <cell r="A2204" t="str">
            <v>ORD_003776</v>
          </cell>
        </row>
        <row r="2205">
          <cell r="A2205" t="str">
            <v>ORD_003844</v>
          </cell>
        </row>
        <row r="2206">
          <cell r="A2206" t="str">
            <v>ORD_003879</v>
          </cell>
        </row>
        <row r="2207">
          <cell r="A2207" t="str">
            <v>ORD_002097</v>
          </cell>
        </row>
        <row r="2208">
          <cell r="A2208" t="str">
            <v>ORD_000960</v>
          </cell>
        </row>
        <row r="2209">
          <cell r="A2209" t="str">
            <v>ORD_001491</v>
          </cell>
        </row>
        <row r="2210">
          <cell r="A2210" t="str">
            <v>ORD_003635</v>
          </cell>
        </row>
        <row r="2211">
          <cell r="A2211" t="str">
            <v>ORD_000267</v>
          </cell>
        </row>
        <row r="2212">
          <cell r="A2212" t="str">
            <v>ORD_000614</v>
          </cell>
        </row>
        <row r="2213">
          <cell r="A2213" t="str">
            <v>ORD_000155</v>
          </cell>
        </row>
        <row r="2214">
          <cell r="A2214" t="str">
            <v>ORD_001913</v>
          </cell>
        </row>
        <row r="2215">
          <cell r="A2215" t="str">
            <v>ORD_000604</v>
          </cell>
        </row>
        <row r="2216">
          <cell r="A2216" t="str">
            <v>ORD_004107</v>
          </cell>
        </row>
        <row r="2217">
          <cell r="A2217" t="str">
            <v>ORD_000746</v>
          </cell>
        </row>
        <row r="2218">
          <cell r="A2218" t="str">
            <v>ORD_002604</v>
          </cell>
        </row>
        <row r="2219">
          <cell r="A2219" t="str">
            <v>ORD_002897</v>
          </cell>
        </row>
        <row r="2220">
          <cell r="A2220" t="str">
            <v>ORD_003293</v>
          </cell>
        </row>
        <row r="2221">
          <cell r="A2221" t="str">
            <v>ORD_004692</v>
          </cell>
        </row>
        <row r="2222">
          <cell r="A2222" t="str">
            <v>ORD_004837</v>
          </cell>
        </row>
        <row r="2223">
          <cell r="A2223" t="str">
            <v>ORD_002969</v>
          </cell>
        </row>
        <row r="2224">
          <cell r="A2224" t="str">
            <v>ORD_001159</v>
          </cell>
        </row>
        <row r="2225">
          <cell r="A2225" t="str">
            <v>ORD_001321</v>
          </cell>
        </row>
        <row r="2226">
          <cell r="A2226" t="str">
            <v>ORD_000370</v>
          </cell>
        </row>
        <row r="2227">
          <cell r="A2227" t="str">
            <v>ORD_004077</v>
          </cell>
        </row>
        <row r="2228">
          <cell r="A2228" t="str">
            <v>ORD_003507</v>
          </cell>
        </row>
        <row r="2229">
          <cell r="A2229" t="str">
            <v>ORD_001864</v>
          </cell>
        </row>
        <row r="2230">
          <cell r="A2230" t="str">
            <v>ORD_003002</v>
          </cell>
        </row>
        <row r="2231">
          <cell r="A2231" t="str">
            <v>ORD_002009</v>
          </cell>
        </row>
        <row r="2232">
          <cell r="A2232" t="str">
            <v>ORD_000129</v>
          </cell>
        </row>
        <row r="2233">
          <cell r="A2233" t="str">
            <v>ORD_002133</v>
          </cell>
        </row>
        <row r="2234">
          <cell r="A2234" t="str">
            <v>ORD_001333</v>
          </cell>
        </row>
        <row r="2235">
          <cell r="A2235" t="str">
            <v>ORD_000419</v>
          </cell>
        </row>
        <row r="2236">
          <cell r="A2236" t="str">
            <v>ORD_004446</v>
          </cell>
        </row>
        <row r="2237">
          <cell r="A2237" t="str">
            <v>ORD_002966</v>
          </cell>
        </row>
        <row r="2238">
          <cell r="A2238" t="str">
            <v>ORD_000672</v>
          </cell>
        </row>
        <row r="2239">
          <cell r="A2239" t="str">
            <v>ORD_001262</v>
          </cell>
        </row>
        <row r="2240">
          <cell r="A2240" t="str">
            <v>ORD_000330</v>
          </cell>
        </row>
        <row r="2241">
          <cell r="A2241" t="str">
            <v>ORD_003796</v>
          </cell>
        </row>
        <row r="2242">
          <cell r="A2242" t="str">
            <v>ORD_002110</v>
          </cell>
        </row>
        <row r="2243">
          <cell r="A2243" t="str">
            <v>ORD_004996</v>
          </cell>
        </row>
        <row r="2244">
          <cell r="A2244" t="str">
            <v>ORD_000872</v>
          </cell>
        </row>
        <row r="2245">
          <cell r="A2245" t="str">
            <v>ORD_004188</v>
          </cell>
        </row>
        <row r="2246">
          <cell r="A2246" t="str">
            <v>ORD_001076</v>
          </cell>
        </row>
        <row r="2247">
          <cell r="A2247" t="str">
            <v>ORD_002657</v>
          </cell>
        </row>
        <row r="2248">
          <cell r="A2248" t="str">
            <v>ORD_003779</v>
          </cell>
        </row>
        <row r="2249">
          <cell r="A2249" t="str">
            <v>ORD_002116</v>
          </cell>
        </row>
        <row r="2250">
          <cell r="A2250" t="str">
            <v>ORD_003287</v>
          </cell>
        </row>
        <row r="2251">
          <cell r="A2251" t="str">
            <v>ORD_003325</v>
          </cell>
        </row>
        <row r="2252">
          <cell r="A2252" t="str">
            <v>ORD_002875</v>
          </cell>
        </row>
        <row r="2253">
          <cell r="A2253" t="str">
            <v>ORD_000687</v>
          </cell>
        </row>
        <row r="2254">
          <cell r="A2254" t="str">
            <v>ORD_003935</v>
          </cell>
        </row>
        <row r="2255">
          <cell r="A2255" t="str">
            <v>ORD_000365</v>
          </cell>
        </row>
        <row r="2256">
          <cell r="A2256" t="str">
            <v>ORD_001060</v>
          </cell>
        </row>
        <row r="2257">
          <cell r="A2257" t="str">
            <v>ORD_003207</v>
          </cell>
        </row>
        <row r="2258">
          <cell r="A2258" t="str">
            <v>ORD_001753</v>
          </cell>
        </row>
        <row r="2259">
          <cell r="A2259" t="str">
            <v>ORD_000557</v>
          </cell>
        </row>
        <row r="2260">
          <cell r="A2260" t="str">
            <v>ORD_004956</v>
          </cell>
        </row>
        <row r="2261">
          <cell r="A2261" t="str">
            <v>ORD_000312</v>
          </cell>
        </row>
        <row r="2262">
          <cell r="A2262" t="str">
            <v>ORD_001375</v>
          </cell>
        </row>
        <row r="2263">
          <cell r="A2263" t="str">
            <v>ORD_000826</v>
          </cell>
        </row>
        <row r="2264">
          <cell r="A2264" t="str">
            <v>ORD_003429</v>
          </cell>
        </row>
        <row r="2265">
          <cell r="A2265" t="str">
            <v>ORD_001212</v>
          </cell>
        </row>
        <row r="2266">
          <cell r="A2266" t="str">
            <v>ORD_003561</v>
          </cell>
        </row>
        <row r="2267">
          <cell r="A2267" t="str">
            <v>ORD_000670</v>
          </cell>
        </row>
        <row r="2268">
          <cell r="A2268" t="str">
            <v>ORD_002779</v>
          </cell>
        </row>
        <row r="2269">
          <cell r="A2269" t="str">
            <v>ORD_004058</v>
          </cell>
        </row>
        <row r="2270">
          <cell r="A2270" t="str">
            <v>ORD_002262</v>
          </cell>
        </row>
        <row r="2271">
          <cell r="A2271" t="str">
            <v>ORD_004874</v>
          </cell>
        </row>
        <row r="2272">
          <cell r="A2272" t="str">
            <v>ORD_004301</v>
          </cell>
        </row>
        <row r="2273">
          <cell r="A2273" t="str">
            <v>ORD_001723</v>
          </cell>
        </row>
        <row r="2274">
          <cell r="A2274" t="str">
            <v>ORD_001308</v>
          </cell>
        </row>
        <row r="2275">
          <cell r="A2275" t="str">
            <v>ORD_001480</v>
          </cell>
        </row>
        <row r="2276">
          <cell r="A2276" t="str">
            <v>ORD_003091</v>
          </cell>
        </row>
        <row r="2277">
          <cell r="A2277" t="str">
            <v>ORD_002365</v>
          </cell>
        </row>
        <row r="2278">
          <cell r="A2278" t="str">
            <v>ORD_003747</v>
          </cell>
        </row>
        <row r="2279">
          <cell r="A2279" t="str">
            <v>ORD_004596</v>
          </cell>
        </row>
        <row r="2280">
          <cell r="A2280" t="str">
            <v>ORD_000573</v>
          </cell>
        </row>
        <row r="2281">
          <cell r="A2281" t="str">
            <v>ORD_001449</v>
          </cell>
        </row>
        <row r="2282">
          <cell r="A2282" t="str">
            <v>ORD_002777</v>
          </cell>
        </row>
        <row r="2283">
          <cell r="A2283" t="str">
            <v>ORD_001316</v>
          </cell>
        </row>
        <row r="2284">
          <cell r="A2284" t="str">
            <v>ORD_000320</v>
          </cell>
        </row>
        <row r="2285">
          <cell r="A2285" t="str">
            <v>ORD_001541</v>
          </cell>
        </row>
        <row r="2286">
          <cell r="A2286" t="str">
            <v>ORD_001946</v>
          </cell>
        </row>
        <row r="2287">
          <cell r="A2287" t="str">
            <v>ORD_004412</v>
          </cell>
        </row>
        <row r="2288">
          <cell r="A2288" t="str">
            <v>ORD_003722</v>
          </cell>
        </row>
        <row r="2289">
          <cell r="A2289" t="str">
            <v>ORD_004908</v>
          </cell>
        </row>
        <row r="2290">
          <cell r="A2290" t="str">
            <v>ORD_003088</v>
          </cell>
        </row>
        <row r="2291">
          <cell r="A2291" t="str">
            <v>ORD_001909</v>
          </cell>
        </row>
        <row r="2292">
          <cell r="A2292" t="str">
            <v>ORD_000567</v>
          </cell>
        </row>
        <row r="2293">
          <cell r="A2293" t="str">
            <v>ORD_001342</v>
          </cell>
        </row>
        <row r="2294">
          <cell r="A2294" t="str">
            <v>ORD_003950</v>
          </cell>
        </row>
        <row r="2295">
          <cell r="A2295" t="str">
            <v>ORD_003537</v>
          </cell>
        </row>
        <row r="2296">
          <cell r="A2296" t="str">
            <v>ORD_003580</v>
          </cell>
        </row>
        <row r="2297">
          <cell r="A2297" t="str">
            <v>ORD_003662</v>
          </cell>
        </row>
        <row r="2298">
          <cell r="A2298" t="str">
            <v>ORD_003196</v>
          </cell>
        </row>
        <row r="2299">
          <cell r="A2299" t="str">
            <v>ORD_001412</v>
          </cell>
        </row>
        <row r="2300">
          <cell r="A2300" t="str">
            <v>ORD_003346</v>
          </cell>
        </row>
        <row r="2301">
          <cell r="A2301" t="str">
            <v>ORD_003399</v>
          </cell>
        </row>
        <row r="2302">
          <cell r="A2302" t="str">
            <v>ORD_004140</v>
          </cell>
        </row>
        <row r="2303">
          <cell r="A2303" t="str">
            <v>ORD_000825</v>
          </cell>
        </row>
        <row r="2304">
          <cell r="A2304" t="str">
            <v>ORD_001747</v>
          </cell>
        </row>
        <row r="2305">
          <cell r="A2305" t="str">
            <v>ORD_001914</v>
          </cell>
        </row>
        <row r="2306">
          <cell r="A2306" t="str">
            <v>ORD_001650</v>
          </cell>
        </row>
        <row r="2307">
          <cell r="A2307" t="str">
            <v>ORD_002047</v>
          </cell>
        </row>
        <row r="2308">
          <cell r="A2308" t="str">
            <v>ORD_004689</v>
          </cell>
        </row>
        <row r="2309">
          <cell r="A2309" t="str">
            <v>ORD_001391</v>
          </cell>
        </row>
        <row r="2310">
          <cell r="A2310" t="str">
            <v>ORD_002883</v>
          </cell>
        </row>
        <row r="2311">
          <cell r="A2311" t="str">
            <v>ORD_002434</v>
          </cell>
        </row>
        <row r="2312">
          <cell r="A2312" t="str">
            <v>ORD_000738</v>
          </cell>
        </row>
        <row r="2313">
          <cell r="A2313" t="str">
            <v>ORD_004437</v>
          </cell>
        </row>
        <row r="2314">
          <cell r="A2314" t="str">
            <v>ORD_004304</v>
          </cell>
        </row>
        <row r="2315">
          <cell r="A2315" t="str">
            <v>ORD_000830</v>
          </cell>
        </row>
        <row r="2316">
          <cell r="A2316" t="str">
            <v>ORD_001176</v>
          </cell>
        </row>
        <row r="2317">
          <cell r="A2317" t="str">
            <v>ORD_004820</v>
          </cell>
        </row>
        <row r="2318">
          <cell r="A2318" t="str">
            <v>ORD_002511</v>
          </cell>
        </row>
        <row r="2319">
          <cell r="A2319" t="str">
            <v>ORD_003675</v>
          </cell>
        </row>
        <row r="2320">
          <cell r="A2320" t="str">
            <v>ORD_003232</v>
          </cell>
        </row>
        <row r="2321">
          <cell r="A2321" t="str">
            <v>ORD_003560</v>
          </cell>
        </row>
        <row r="2322">
          <cell r="A2322" t="str">
            <v>ORD_002860</v>
          </cell>
        </row>
        <row r="2323">
          <cell r="A2323" t="str">
            <v>ORD_002113</v>
          </cell>
        </row>
        <row r="2324">
          <cell r="A2324" t="str">
            <v>ORD_003581</v>
          </cell>
        </row>
        <row r="2325">
          <cell r="A2325" t="str">
            <v>ORD_003044</v>
          </cell>
        </row>
        <row r="2326">
          <cell r="A2326" t="str">
            <v>ORD_000031</v>
          </cell>
        </row>
        <row r="2327">
          <cell r="A2327" t="str">
            <v>ORD_000428</v>
          </cell>
        </row>
        <row r="2328">
          <cell r="A2328" t="str">
            <v>ORD_001742</v>
          </cell>
        </row>
        <row r="2329">
          <cell r="A2329" t="str">
            <v>ORD_002397</v>
          </cell>
        </row>
        <row r="2330">
          <cell r="A2330" t="str">
            <v>ORD_002918</v>
          </cell>
        </row>
        <row r="2331">
          <cell r="A2331" t="str">
            <v>ORD_000853</v>
          </cell>
        </row>
        <row r="2332">
          <cell r="A2332" t="str">
            <v>ORD_004816</v>
          </cell>
        </row>
        <row r="2333">
          <cell r="A2333" t="str">
            <v>ORD_003086</v>
          </cell>
        </row>
        <row r="2334">
          <cell r="A2334" t="str">
            <v>ORD_004265</v>
          </cell>
        </row>
        <row r="2335">
          <cell r="A2335" t="str">
            <v>ORD_002486</v>
          </cell>
        </row>
        <row r="2336">
          <cell r="A2336" t="str">
            <v>ORD_003488</v>
          </cell>
        </row>
        <row r="2337">
          <cell r="A2337" t="str">
            <v>ORD_004897</v>
          </cell>
        </row>
        <row r="2338">
          <cell r="A2338" t="str">
            <v>ORD_002020</v>
          </cell>
        </row>
        <row r="2339">
          <cell r="A2339" t="str">
            <v>ORD_004082</v>
          </cell>
        </row>
        <row r="2340">
          <cell r="A2340" t="str">
            <v>ORD_000834</v>
          </cell>
        </row>
        <row r="2341">
          <cell r="A2341" t="str">
            <v>ORD_003437</v>
          </cell>
        </row>
        <row r="2342">
          <cell r="A2342" t="str">
            <v>ORD_000678</v>
          </cell>
        </row>
        <row r="2343">
          <cell r="A2343" t="str">
            <v>ORD_001835</v>
          </cell>
        </row>
        <row r="2344">
          <cell r="A2344" t="str">
            <v>ORD_000907</v>
          </cell>
        </row>
        <row r="2345">
          <cell r="A2345" t="str">
            <v>ORD_003973</v>
          </cell>
        </row>
        <row r="2346">
          <cell r="A2346" t="str">
            <v>ORD_004664</v>
          </cell>
        </row>
        <row r="2347">
          <cell r="A2347" t="str">
            <v>ORD_000993</v>
          </cell>
        </row>
        <row r="2348">
          <cell r="A2348" t="str">
            <v>ORD_001951</v>
          </cell>
        </row>
        <row r="2349">
          <cell r="A2349" t="str">
            <v>ORD_000016</v>
          </cell>
        </row>
        <row r="2350">
          <cell r="A2350" t="str">
            <v>ORD_003419</v>
          </cell>
        </row>
        <row r="2351">
          <cell r="A2351" t="str">
            <v>ORD_000171</v>
          </cell>
        </row>
        <row r="2352">
          <cell r="A2352" t="str">
            <v>ORD_004270</v>
          </cell>
        </row>
        <row r="2353">
          <cell r="A2353" t="str">
            <v>ORD_000043</v>
          </cell>
        </row>
        <row r="2354">
          <cell r="A2354" t="str">
            <v>ORD_000510</v>
          </cell>
        </row>
        <row r="2355">
          <cell r="A2355" t="str">
            <v>ORD_002477</v>
          </cell>
        </row>
        <row r="2356">
          <cell r="A2356" t="str">
            <v>ORD_000342</v>
          </cell>
        </row>
        <row r="2357">
          <cell r="A2357" t="str">
            <v>ORD_002318</v>
          </cell>
        </row>
        <row r="2358">
          <cell r="A2358" t="str">
            <v>ORD_000381</v>
          </cell>
        </row>
        <row r="2359">
          <cell r="A2359" t="str">
            <v>ORD_004690</v>
          </cell>
        </row>
        <row r="2360">
          <cell r="A2360" t="str">
            <v>ORD_004557</v>
          </cell>
        </row>
        <row r="2361">
          <cell r="A2361" t="str">
            <v>ORD_004069</v>
          </cell>
        </row>
        <row r="2362">
          <cell r="A2362" t="str">
            <v>ORD_000319</v>
          </cell>
        </row>
        <row r="2363">
          <cell r="A2363" t="str">
            <v>ORD_000258</v>
          </cell>
        </row>
        <row r="2364">
          <cell r="A2364" t="str">
            <v>ORD_001237</v>
          </cell>
        </row>
        <row r="2365">
          <cell r="A2365" t="str">
            <v>ORD_001578</v>
          </cell>
        </row>
        <row r="2366">
          <cell r="A2366" t="str">
            <v>ORD_002043</v>
          </cell>
        </row>
        <row r="2367">
          <cell r="A2367" t="str">
            <v>ORD_003470</v>
          </cell>
        </row>
        <row r="2368">
          <cell r="A2368" t="str">
            <v>ORD_002620</v>
          </cell>
        </row>
        <row r="2369">
          <cell r="A2369" t="str">
            <v>ORD_000757</v>
          </cell>
        </row>
        <row r="2370">
          <cell r="A2370" t="str">
            <v>ORD_004349</v>
          </cell>
        </row>
        <row r="2371">
          <cell r="A2371" t="str">
            <v>ORD_001087</v>
          </cell>
        </row>
        <row r="2372">
          <cell r="A2372" t="str">
            <v>ORD_003548</v>
          </cell>
        </row>
        <row r="2373">
          <cell r="A2373" t="str">
            <v>ORD_001918</v>
          </cell>
        </row>
        <row r="2374">
          <cell r="A2374" t="str">
            <v>ORD_004184</v>
          </cell>
        </row>
        <row r="2375">
          <cell r="A2375" t="str">
            <v>ORD_001865</v>
          </cell>
        </row>
        <row r="2376">
          <cell r="A2376" t="str">
            <v>ORD_000525</v>
          </cell>
        </row>
        <row r="2377">
          <cell r="A2377" t="str">
            <v>ORD_002638</v>
          </cell>
        </row>
        <row r="2378">
          <cell r="A2378" t="str">
            <v>ORD_003289</v>
          </cell>
        </row>
        <row r="2379">
          <cell r="A2379" t="str">
            <v>ORD_000784</v>
          </cell>
        </row>
        <row r="2380">
          <cell r="A2380" t="str">
            <v>ORD_004202</v>
          </cell>
        </row>
        <row r="2381">
          <cell r="A2381" t="str">
            <v>ORD_004535</v>
          </cell>
        </row>
        <row r="2382">
          <cell r="A2382" t="str">
            <v>ORD_001190</v>
          </cell>
        </row>
        <row r="2383">
          <cell r="A2383" t="str">
            <v>ORD_004611</v>
          </cell>
        </row>
        <row r="2384">
          <cell r="A2384" t="str">
            <v>ORD_004381</v>
          </cell>
        </row>
        <row r="2385">
          <cell r="A2385" t="str">
            <v>ORD_001979</v>
          </cell>
        </row>
        <row r="2386">
          <cell r="A2386" t="str">
            <v>ORD_004767</v>
          </cell>
        </row>
        <row r="2387">
          <cell r="A2387" t="str">
            <v>ORD_000153</v>
          </cell>
        </row>
        <row r="2388">
          <cell r="A2388" t="str">
            <v>ORD_002108</v>
          </cell>
        </row>
        <row r="2389">
          <cell r="A2389" t="str">
            <v>ORD_004508</v>
          </cell>
        </row>
        <row r="2390">
          <cell r="A2390" t="str">
            <v>ORD_000984</v>
          </cell>
        </row>
        <row r="2391">
          <cell r="A2391" t="str">
            <v>ORD_000888</v>
          </cell>
        </row>
        <row r="2392">
          <cell r="A2392" t="str">
            <v>ORD_002505</v>
          </cell>
        </row>
        <row r="2393">
          <cell r="A2393" t="str">
            <v>ORD_004475</v>
          </cell>
        </row>
        <row r="2394">
          <cell r="A2394" t="str">
            <v>ORD_004002</v>
          </cell>
        </row>
        <row r="2395">
          <cell r="A2395" t="str">
            <v>ORD_002622</v>
          </cell>
        </row>
        <row r="2396">
          <cell r="A2396" t="str">
            <v>ORD_001906</v>
          </cell>
        </row>
        <row r="2397">
          <cell r="A2397" t="str">
            <v>ORD_001892</v>
          </cell>
        </row>
        <row r="2398">
          <cell r="A2398" t="str">
            <v>ORD_002083</v>
          </cell>
        </row>
        <row r="2399">
          <cell r="A2399" t="str">
            <v>ORD_003760</v>
          </cell>
        </row>
        <row r="2400">
          <cell r="A2400" t="str">
            <v>ORD_004111</v>
          </cell>
        </row>
        <row r="2401">
          <cell r="A2401" t="str">
            <v>ORD_002960</v>
          </cell>
        </row>
        <row r="2402">
          <cell r="A2402" t="str">
            <v>ORD_000317</v>
          </cell>
        </row>
        <row r="2403">
          <cell r="A2403" t="str">
            <v>ORD_000656</v>
          </cell>
        </row>
        <row r="2404">
          <cell r="A2404" t="str">
            <v>ORD_003930</v>
          </cell>
        </row>
        <row r="2405">
          <cell r="A2405" t="str">
            <v>ORD_002054</v>
          </cell>
        </row>
        <row r="2406">
          <cell r="A2406" t="str">
            <v>ORD_000694</v>
          </cell>
        </row>
        <row r="2407">
          <cell r="A2407" t="str">
            <v>ORD_000539</v>
          </cell>
        </row>
        <row r="2408">
          <cell r="A2408" t="str">
            <v>ORD_001537</v>
          </cell>
        </row>
        <row r="2409">
          <cell r="A2409" t="str">
            <v>ORD_004194</v>
          </cell>
        </row>
        <row r="2410">
          <cell r="A2410" t="str">
            <v>ORD_002802</v>
          </cell>
        </row>
        <row r="2411">
          <cell r="A2411" t="str">
            <v>ORD_001271</v>
          </cell>
        </row>
        <row r="2412">
          <cell r="A2412" t="str">
            <v>ORD_001931</v>
          </cell>
        </row>
        <row r="2413">
          <cell r="A2413" t="str">
            <v>ORD_003892</v>
          </cell>
        </row>
        <row r="2414">
          <cell r="A2414" t="str">
            <v>ORD_000997</v>
          </cell>
        </row>
        <row r="2415">
          <cell r="A2415" t="str">
            <v>ORD_001518</v>
          </cell>
        </row>
        <row r="2416">
          <cell r="A2416" t="str">
            <v>ORD_004727</v>
          </cell>
        </row>
        <row r="2417">
          <cell r="A2417" t="str">
            <v>ORD_003971</v>
          </cell>
        </row>
        <row r="2418">
          <cell r="A2418" t="str">
            <v>ORD_001004</v>
          </cell>
        </row>
        <row r="2419">
          <cell r="A2419" t="str">
            <v>ORD_000629</v>
          </cell>
        </row>
        <row r="2420">
          <cell r="A2420" t="str">
            <v>ORD_003809</v>
          </cell>
        </row>
        <row r="2421">
          <cell r="A2421" t="str">
            <v>ORD_000195</v>
          </cell>
        </row>
        <row r="2422">
          <cell r="A2422" t="str">
            <v>ORD_002649</v>
          </cell>
        </row>
        <row r="2423">
          <cell r="A2423" t="str">
            <v>ORD_004925</v>
          </cell>
        </row>
        <row r="2424">
          <cell r="A2424" t="str">
            <v>ORD_001301</v>
          </cell>
        </row>
        <row r="2425">
          <cell r="A2425" t="str">
            <v>ORD_002603</v>
          </cell>
        </row>
        <row r="2426">
          <cell r="A2426" t="str">
            <v>ORD_003870</v>
          </cell>
        </row>
        <row r="2427">
          <cell r="A2427" t="str">
            <v>ORD_000644</v>
          </cell>
        </row>
        <row r="2428">
          <cell r="A2428" t="str">
            <v>ORD_002127</v>
          </cell>
        </row>
        <row r="2429">
          <cell r="A2429" t="str">
            <v>ORD_000634</v>
          </cell>
        </row>
        <row r="2430">
          <cell r="A2430" t="str">
            <v>ORD_001016</v>
          </cell>
        </row>
        <row r="2431">
          <cell r="A2431" t="str">
            <v>ORD_000864</v>
          </cell>
        </row>
        <row r="2432">
          <cell r="A2432" t="str">
            <v>ORD_002427</v>
          </cell>
        </row>
        <row r="2433">
          <cell r="A2433" t="str">
            <v>ORD_002101</v>
          </cell>
        </row>
        <row r="2434">
          <cell r="A2434" t="str">
            <v>ORD_004720</v>
          </cell>
        </row>
        <row r="2435">
          <cell r="A2435" t="str">
            <v>ORD_002131</v>
          </cell>
        </row>
        <row r="2436">
          <cell r="A2436" t="str">
            <v>ORD_002363</v>
          </cell>
        </row>
        <row r="2437">
          <cell r="A2437" t="str">
            <v>ORD_002253</v>
          </cell>
        </row>
        <row r="2438">
          <cell r="A2438" t="str">
            <v>ORD_002252</v>
          </cell>
        </row>
        <row r="2439">
          <cell r="A2439" t="str">
            <v>ORD_002670</v>
          </cell>
        </row>
        <row r="2440">
          <cell r="A2440" t="str">
            <v>ORD_003508</v>
          </cell>
        </row>
        <row r="2441">
          <cell r="A2441" t="str">
            <v>ORD_000271</v>
          </cell>
        </row>
        <row r="2442">
          <cell r="A2442" t="str">
            <v>ORD_004365</v>
          </cell>
        </row>
        <row r="2443">
          <cell r="A2443" t="str">
            <v>ORD_001256</v>
          </cell>
        </row>
        <row r="2444">
          <cell r="A2444" t="str">
            <v>ORD_000468</v>
          </cell>
        </row>
        <row r="2445">
          <cell r="A2445" t="str">
            <v>ORD_001267</v>
          </cell>
        </row>
        <row r="2446">
          <cell r="A2446" t="str">
            <v>ORD_004048</v>
          </cell>
        </row>
        <row r="2447">
          <cell r="A2447" t="str">
            <v>ORD_004157</v>
          </cell>
        </row>
        <row r="2448">
          <cell r="A2448" t="str">
            <v>ORD_001359</v>
          </cell>
        </row>
        <row r="2449">
          <cell r="A2449" t="str">
            <v>ORD_002389</v>
          </cell>
        </row>
        <row r="2450">
          <cell r="A2450" t="str">
            <v>ORD_003084</v>
          </cell>
        </row>
        <row r="2451">
          <cell r="A2451" t="str">
            <v>ORD_002192</v>
          </cell>
        </row>
        <row r="2452">
          <cell r="A2452" t="str">
            <v>ORD_002606</v>
          </cell>
        </row>
        <row r="2453">
          <cell r="A2453" t="str">
            <v>ORD_004346</v>
          </cell>
        </row>
        <row r="2454">
          <cell r="A2454" t="str">
            <v>ORD_002882</v>
          </cell>
        </row>
        <row r="2455">
          <cell r="A2455" t="str">
            <v>ORD_004589</v>
          </cell>
        </row>
        <row r="2456">
          <cell r="A2456" t="str">
            <v>ORD_000806</v>
          </cell>
        </row>
        <row r="2457">
          <cell r="A2457" t="str">
            <v>ORD_004000</v>
          </cell>
        </row>
        <row r="2458">
          <cell r="A2458" t="str">
            <v>ORD_001149</v>
          </cell>
        </row>
        <row r="2459">
          <cell r="A2459" t="str">
            <v>ORD_001640</v>
          </cell>
        </row>
        <row r="2460">
          <cell r="A2460" t="str">
            <v>ORD_004505</v>
          </cell>
        </row>
        <row r="2461">
          <cell r="A2461" t="str">
            <v>ORD_001473</v>
          </cell>
        </row>
        <row r="2462">
          <cell r="A2462" t="str">
            <v>ORD_002041</v>
          </cell>
        </row>
        <row r="2463">
          <cell r="A2463" t="str">
            <v>ORD_002046</v>
          </cell>
        </row>
        <row r="2464">
          <cell r="A2464" t="str">
            <v>ORD_001297</v>
          </cell>
        </row>
        <row r="2465">
          <cell r="A2465" t="str">
            <v>ORD_004599</v>
          </cell>
        </row>
        <row r="2466">
          <cell r="A2466" t="str">
            <v>ORD_001573</v>
          </cell>
        </row>
        <row r="2467">
          <cell r="A2467" t="str">
            <v>ORD_000701</v>
          </cell>
        </row>
        <row r="2468">
          <cell r="A2468" t="str">
            <v>ORD_000702</v>
          </cell>
        </row>
        <row r="2469">
          <cell r="A2469" t="str">
            <v>ORD_000522</v>
          </cell>
        </row>
        <row r="2470">
          <cell r="A2470" t="str">
            <v>ORD_001351</v>
          </cell>
        </row>
        <row r="2471">
          <cell r="A2471" t="str">
            <v>ORD_003168</v>
          </cell>
        </row>
        <row r="2472">
          <cell r="A2472" t="str">
            <v>ORD_003384</v>
          </cell>
        </row>
        <row r="2473">
          <cell r="A2473" t="str">
            <v>ORD_000349</v>
          </cell>
        </row>
        <row r="2474">
          <cell r="A2474" t="str">
            <v>ORD_001186</v>
          </cell>
        </row>
        <row r="2475">
          <cell r="A2475" t="str">
            <v>ORD_000779</v>
          </cell>
        </row>
        <row r="2476">
          <cell r="A2476" t="str">
            <v>ORD_002195</v>
          </cell>
        </row>
        <row r="2477">
          <cell r="A2477" t="str">
            <v>ORD_002727</v>
          </cell>
        </row>
        <row r="2478">
          <cell r="A2478" t="str">
            <v>ORD_001760</v>
          </cell>
        </row>
        <row r="2479">
          <cell r="A2479" t="str">
            <v>ORD_002370</v>
          </cell>
        </row>
        <row r="2480">
          <cell r="A2480" t="str">
            <v>ORD_001759</v>
          </cell>
        </row>
        <row r="2481">
          <cell r="A2481" t="str">
            <v>ORD_001870</v>
          </cell>
        </row>
        <row r="2482">
          <cell r="A2482" t="str">
            <v>ORD_003922</v>
          </cell>
        </row>
        <row r="2483">
          <cell r="A2483" t="str">
            <v>ORD_004307</v>
          </cell>
        </row>
        <row r="2484">
          <cell r="A2484" t="str">
            <v>ORD_002688</v>
          </cell>
        </row>
        <row r="2485">
          <cell r="A2485" t="str">
            <v>ORD_004549</v>
          </cell>
        </row>
        <row r="2486">
          <cell r="A2486" t="str">
            <v>ORD_002641</v>
          </cell>
        </row>
        <row r="2487">
          <cell r="A2487" t="str">
            <v>ORD_001525</v>
          </cell>
        </row>
        <row r="2488">
          <cell r="A2488" t="str">
            <v>ORD_003393</v>
          </cell>
        </row>
        <row r="2489">
          <cell r="A2489" t="str">
            <v>ORD_004125</v>
          </cell>
        </row>
        <row r="2490">
          <cell r="A2490" t="str">
            <v>ORD_000787</v>
          </cell>
        </row>
        <row r="2491">
          <cell r="A2491" t="str">
            <v>ORD_003498</v>
          </cell>
        </row>
        <row r="2492">
          <cell r="A2492" t="str">
            <v>ORD_003305</v>
          </cell>
        </row>
        <row r="2493">
          <cell r="A2493" t="str">
            <v>ORD_001429</v>
          </cell>
        </row>
        <row r="2494">
          <cell r="A2494" t="str">
            <v>ORD_002713</v>
          </cell>
        </row>
        <row r="2495">
          <cell r="A2495" t="str">
            <v>ORD_002635</v>
          </cell>
        </row>
        <row r="2496">
          <cell r="A2496" t="str">
            <v>ORD_002643</v>
          </cell>
        </row>
        <row r="2497">
          <cell r="A2497" t="str">
            <v>ORD_003365</v>
          </cell>
        </row>
        <row r="2498">
          <cell r="A2498" t="str">
            <v>ORD_001070</v>
          </cell>
        </row>
        <row r="2499">
          <cell r="A2499" t="str">
            <v>ORD_001841</v>
          </cell>
        </row>
        <row r="2500">
          <cell r="A2500" t="str">
            <v>ORD_000340</v>
          </cell>
        </row>
        <row r="2501">
          <cell r="A2501" t="str">
            <v>ORD_002181</v>
          </cell>
        </row>
        <row r="2502">
          <cell r="A2502" t="str">
            <v>ORD_002464</v>
          </cell>
        </row>
        <row r="2503">
          <cell r="A2503" t="str">
            <v>ORD_003440</v>
          </cell>
        </row>
        <row r="2504">
          <cell r="A2504" t="str">
            <v>ORD_003931</v>
          </cell>
        </row>
        <row r="2505">
          <cell r="A2505" t="str">
            <v>ORD_004073</v>
          </cell>
        </row>
        <row r="2506">
          <cell r="A2506" t="str">
            <v>ORD_000033</v>
          </cell>
        </row>
        <row r="2507">
          <cell r="A2507" t="str">
            <v>ORD_002376</v>
          </cell>
        </row>
        <row r="2508">
          <cell r="A2508" t="str">
            <v>ORD_003886</v>
          </cell>
        </row>
        <row r="2509">
          <cell r="A2509" t="str">
            <v>ORD_002980</v>
          </cell>
        </row>
        <row r="2510">
          <cell r="A2510" t="str">
            <v>ORD_002909</v>
          </cell>
        </row>
        <row r="2511">
          <cell r="A2511" t="str">
            <v>ORD_002685</v>
          </cell>
        </row>
        <row r="2512">
          <cell r="A2512" t="str">
            <v>ORD_002787</v>
          </cell>
        </row>
        <row r="2513">
          <cell r="A2513" t="str">
            <v>ORD_003592</v>
          </cell>
        </row>
        <row r="2514">
          <cell r="A2514" t="str">
            <v>ORD_001185</v>
          </cell>
        </row>
        <row r="2515">
          <cell r="A2515" t="str">
            <v>ORD_004200</v>
          </cell>
        </row>
        <row r="2516">
          <cell r="A2516" t="str">
            <v>ORD_001213</v>
          </cell>
        </row>
        <row r="2517">
          <cell r="A2517" t="str">
            <v>ORD_002239</v>
          </cell>
        </row>
        <row r="2518">
          <cell r="A2518" t="str">
            <v>ORD_000792</v>
          </cell>
        </row>
        <row r="2519">
          <cell r="A2519" t="str">
            <v>ORD_004359</v>
          </cell>
        </row>
        <row r="2520">
          <cell r="A2520" t="str">
            <v>ORD_004286</v>
          </cell>
        </row>
        <row r="2521">
          <cell r="A2521" t="str">
            <v>ORD_002423</v>
          </cell>
        </row>
        <row r="2522">
          <cell r="A2522" t="str">
            <v>ORD_002228</v>
          </cell>
        </row>
        <row r="2523">
          <cell r="A2523" t="str">
            <v>ORD_002431</v>
          </cell>
        </row>
        <row r="2524">
          <cell r="A2524" t="str">
            <v>ORD_004953</v>
          </cell>
        </row>
        <row r="2525">
          <cell r="A2525" t="str">
            <v>ORD_001027</v>
          </cell>
        </row>
        <row r="2526">
          <cell r="A2526" t="str">
            <v>ORD_001847</v>
          </cell>
        </row>
        <row r="2527">
          <cell r="A2527" t="str">
            <v>ORD_000273</v>
          </cell>
        </row>
        <row r="2528">
          <cell r="A2528" t="str">
            <v>ORD_004439</v>
          </cell>
        </row>
        <row r="2529">
          <cell r="A2529" t="str">
            <v>ORD_004940</v>
          </cell>
        </row>
        <row r="2530">
          <cell r="A2530" t="str">
            <v>ORD_002207</v>
          </cell>
        </row>
        <row r="2531">
          <cell r="A2531" t="str">
            <v>ORD_004998</v>
          </cell>
        </row>
        <row r="2532">
          <cell r="A2532" t="str">
            <v>ORD_002724</v>
          </cell>
        </row>
        <row r="2533">
          <cell r="A2533" t="str">
            <v>ORD_004160</v>
          </cell>
        </row>
        <row r="2534">
          <cell r="A2534" t="str">
            <v>ORD_004962</v>
          </cell>
        </row>
        <row r="2535">
          <cell r="A2535" t="str">
            <v>ORD_001907</v>
          </cell>
        </row>
        <row r="2536">
          <cell r="A2536" t="str">
            <v>ORD_002877</v>
          </cell>
        </row>
        <row r="2537">
          <cell r="A2537" t="str">
            <v>ORD_002021</v>
          </cell>
        </row>
        <row r="2538">
          <cell r="A2538" t="str">
            <v>ORD_003396</v>
          </cell>
        </row>
        <row r="2539">
          <cell r="A2539" t="str">
            <v>ORD_001912</v>
          </cell>
        </row>
        <row r="2540">
          <cell r="A2540" t="str">
            <v>ORD_001694</v>
          </cell>
        </row>
        <row r="2541">
          <cell r="A2541" t="str">
            <v>ORD_001326</v>
          </cell>
        </row>
        <row r="2542">
          <cell r="A2542" t="str">
            <v>ORD_000379</v>
          </cell>
        </row>
        <row r="2543">
          <cell r="A2543" t="str">
            <v>ORD_000898</v>
          </cell>
        </row>
        <row r="2544">
          <cell r="A2544" t="str">
            <v>ORD_001889</v>
          </cell>
        </row>
        <row r="2545">
          <cell r="A2545" t="str">
            <v>ORD_004729</v>
          </cell>
        </row>
        <row r="2546">
          <cell r="A2546" t="str">
            <v>ORD_003253</v>
          </cell>
        </row>
        <row r="2547">
          <cell r="A2547" t="str">
            <v>ORD_001736</v>
          </cell>
        </row>
        <row r="2548">
          <cell r="A2548" t="str">
            <v>ORD_001225</v>
          </cell>
        </row>
        <row r="2549">
          <cell r="A2549" t="str">
            <v>ORD_004453</v>
          </cell>
        </row>
        <row r="2550">
          <cell r="A2550" t="str">
            <v>ORD_003342</v>
          </cell>
        </row>
        <row r="2551">
          <cell r="A2551" t="str">
            <v>ORD_001093</v>
          </cell>
        </row>
        <row r="2552">
          <cell r="A2552" t="str">
            <v>ORD_000090</v>
          </cell>
        </row>
        <row r="2553">
          <cell r="A2553" t="str">
            <v>ORD_000197</v>
          </cell>
        </row>
        <row r="2554">
          <cell r="A2554" t="str">
            <v>ORD_001777</v>
          </cell>
        </row>
        <row r="2555">
          <cell r="A2555" t="str">
            <v>ORD_004506</v>
          </cell>
        </row>
        <row r="2556">
          <cell r="A2556" t="str">
            <v>ORD_003400</v>
          </cell>
        </row>
        <row r="2557">
          <cell r="A2557" t="str">
            <v>ORD_001581</v>
          </cell>
        </row>
        <row r="2558">
          <cell r="A2558" t="str">
            <v>ORD_004849</v>
          </cell>
        </row>
        <row r="2559">
          <cell r="A2559" t="str">
            <v>ORD_001438</v>
          </cell>
        </row>
        <row r="2560">
          <cell r="A2560" t="str">
            <v>ORD_003013</v>
          </cell>
        </row>
        <row r="2561">
          <cell r="A2561" t="str">
            <v>ORD_000737</v>
          </cell>
        </row>
        <row r="2562">
          <cell r="A2562" t="str">
            <v>ORD_003733</v>
          </cell>
        </row>
        <row r="2563">
          <cell r="A2563" t="str">
            <v>ORD_004149</v>
          </cell>
        </row>
        <row r="2564">
          <cell r="A2564" t="str">
            <v>ORD_001476</v>
          </cell>
        </row>
        <row r="2565">
          <cell r="A2565" t="str">
            <v>ORD_000769</v>
          </cell>
        </row>
        <row r="2566">
          <cell r="A2566" t="str">
            <v>ORD_004777</v>
          </cell>
        </row>
        <row r="2567">
          <cell r="A2567" t="str">
            <v>ORD_001396</v>
          </cell>
        </row>
        <row r="2568">
          <cell r="A2568" t="str">
            <v>ORD_002490</v>
          </cell>
        </row>
        <row r="2569">
          <cell r="A2569" t="str">
            <v>ORD_004223</v>
          </cell>
        </row>
        <row r="2570">
          <cell r="A2570" t="str">
            <v>ORD_000142</v>
          </cell>
        </row>
        <row r="2571">
          <cell r="A2571" t="str">
            <v>ORD_003987</v>
          </cell>
        </row>
        <row r="2572">
          <cell r="A2572" t="str">
            <v>ORD_000446</v>
          </cell>
        </row>
        <row r="2573">
          <cell r="A2573" t="str">
            <v>ORD_004464</v>
          </cell>
        </row>
        <row r="2574">
          <cell r="A2574" t="str">
            <v>ORD_004911</v>
          </cell>
        </row>
        <row r="2575">
          <cell r="A2575" t="str">
            <v>ORD_000451</v>
          </cell>
        </row>
        <row r="2576">
          <cell r="A2576" t="str">
            <v>ORD_004324</v>
          </cell>
        </row>
        <row r="2577">
          <cell r="A2577" t="str">
            <v>ORD_002571</v>
          </cell>
        </row>
        <row r="2578">
          <cell r="A2578" t="str">
            <v>ORD_002941</v>
          </cell>
        </row>
        <row r="2579">
          <cell r="A2579" t="str">
            <v>ORD_001858</v>
          </cell>
        </row>
        <row r="2580">
          <cell r="A2580" t="str">
            <v>ORD_003269</v>
          </cell>
        </row>
        <row r="2581">
          <cell r="A2581" t="str">
            <v>ORD_004241</v>
          </cell>
        </row>
        <row r="2582">
          <cell r="A2582" t="str">
            <v>ORD_000593</v>
          </cell>
        </row>
        <row r="2583">
          <cell r="A2583" t="str">
            <v>ORD_000062</v>
          </cell>
        </row>
        <row r="2584">
          <cell r="A2584" t="str">
            <v>ORD_004500</v>
          </cell>
        </row>
        <row r="2585">
          <cell r="A2585" t="str">
            <v>ORD_002122</v>
          </cell>
        </row>
        <row r="2586">
          <cell r="A2586" t="str">
            <v>ORD_003476</v>
          </cell>
        </row>
        <row r="2587">
          <cell r="A2587" t="str">
            <v>ORD_003113</v>
          </cell>
        </row>
        <row r="2588">
          <cell r="A2588" t="str">
            <v>ORD_003698</v>
          </cell>
        </row>
        <row r="2589">
          <cell r="A2589" t="str">
            <v>ORD_002103</v>
          </cell>
        </row>
        <row r="2590">
          <cell r="A2590" t="str">
            <v>ORD_001562</v>
          </cell>
        </row>
        <row r="2591">
          <cell r="A2591" t="str">
            <v>ORD_003780</v>
          </cell>
        </row>
        <row r="2592">
          <cell r="A2592" t="str">
            <v>ORD_001001</v>
          </cell>
        </row>
        <row r="2593">
          <cell r="A2593" t="str">
            <v>ORD_000891</v>
          </cell>
        </row>
        <row r="2594">
          <cell r="A2594" t="str">
            <v>ORD_000111</v>
          </cell>
        </row>
        <row r="2595">
          <cell r="A2595" t="str">
            <v>ORD_003404</v>
          </cell>
        </row>
        <row r="2596">
          <cell r="A2596" t="str">
            <v>ORD_002390</v>
          </cell>
        </row>
        <row r="2597">
          <cell r="A2597" t="str">
            <v>ORD_004185</v>
          </cell>
        </row>
        <row r="2598">
          <cell r="A2598" t="str">
            <v>ORD_001341</v>
          </cell>
        </row>
        <row r="2599">
          <cell r="A2599" t="str">
            <v>ORD_001380</v>
          </cell>
        </row>
        <row r="2600">
          <cell r="A2600" t="str">
            <v>ORD_000345</v>
          </cell>
        </row>
        <row r="2601">
          <cell r="A2601" t="str">
            <v>ORD_001559</v>
          </cell>
        </row>
        <row r="2602">
          <cell r="A2602" t="str">
            <v>ORD_004045</v>
          </cell>
        </row>
        <row r="2603">
          <cell r="A2603" t="str">
            <v>ORD_002222</v>
          </cell>
        </row>
        <row r="2604">
          <cell r="A2604" t="str">
            <v>ORD_002206</v>
          </cell>
        </row>
        <row r="2605">
          <cell r="A2605" t="str">
            <v>ORD_000763</v>
          </cell>
        </row>
        <row r="2606">
          <cell r="A2606" t="str">
            <v>ORD_002885</v>
          </cell>
        </row>
        <row r="2607">
          <cell r="A2607" t="str">
            <v>ORD_003466</v>
          </cell>
        </row>
        <row r="2608">
          <cell r="A2608" t="str">
            <v>ORD_004860</v>
          </cell>
        </row>
        <row r="2609">
          <cell r="A2609" t="str">
            <v>ORD_000772</v>
          </cell>
        </row>
        <row r="2610">
          <cell r="A2610" t="str">
            <v>ORD_002176</v>
          </cell>
        </row>
        <row r="2611">
          <cell r="A2611" t="str">
            <v>ORD_001030</v>
          </cell>
        </row>
        <row r="2612">
          <cell r="A2612" t="str">
            <v>ORD_002561</v>
          </cell>
        </row>
        <row r="2613">
          <cell r="A2613" t="str">
            <v>ORD_004964</v>
          </cell>
        </row>
        <row r="2614">
          <cell r="A2614" t="str">
            <v>ORD_004128</v>
          </cell>
        </row>
        <row r="2615">
          <cell r="A2615" t="str">
            <v>ORD_001719</v>
          </cell>
        </row>
        <row r="2616">
          <cell r="A2616" t="str">
            <v>ORD_003577</v>
          </cell>
        </row>
        <row r="2617">
          <cell r="A2617" t="str">
            <v>ORD_002906</v>
          </cell>
        </row>
        <row r="2618">
          <cell r="A2618" t="str">
            <v>ORD_003651</v>
          </cell>
        </row>
        <row r="2619">
          <cell r="A2619" t="str">
            <v>ORD_002788</v>
          </cell>
        </row>
        <row r="2620">
          <cell r="A2620" t="str">
            <v>ORD_001567</v>
          </cell>
        </row>
        <row r="2621">
          <cell r="A2621" t="str">
            <v>ORD_003642</v>
          </cell>
        </row>
        <row r="2622">
          <cell r="A2622" t="str">
            <v>ORD_004840</v>
          </cell>
        </row>
        <row r="2623">
          <cell r="A2623" t="str">
            <v>ORD_000700</v>
          </cell>
        </row>
        <row r="2624">
          <cell r="A2624" t="str">
            <v>ORD_000938</v>
          </cell>
        </row>
        <row r="2625">
          <cell r="A2625" t="str">
            <v>ORD_003322</v>
          </cell>
        </row>
        <row r="2626">
          <cell r="A2626" t="str">
            <v>ORD_004954</v>
          </cell>
        </row>
        <row r="2627">
          <cell r="A2627" t="str">
            <v>ORD_000829</v>
          </cell>
        </row>
        <row r="2628">
          <cell r="A2628" t="str">
            <v>ORD_001015</v>
          </cell>
        </row>
        <row r="2629">
          <cell r="A2629" t="str">
            <v>ORD_002764</v>
          </cell>
        </row>
        <row r="2630">
          <cell r="A2630" t="str">
            <v>ORD_000876</v>
          </cell>
        </row>
        <row r="2631">
          <cell r="A2631" t="str">
            <v>ORD_002932</v>
          </cell>
        </row>
        <row r="2632">
          <cell r="A2632" t="str">
            <v>ORD_000321</v>
          </cell>
        </row>
        <row r="2633">
          <cell r="A2633" t="str">
            <v>ORD_001673</v>
          </cell>
        </row>
        <row r="2634">
          <cell r="A2634" t="str">
            <v>ORD_000177</v>
          </cell>
        </row>
        <row r="2635">
          <cell r="A2635" t="str">
            <v>ORD_003261</v>
          </cell>
        </row>
        <row r="2636">
          <cell r="A2636" t="str">
            <v>ORD_001258</v>
          </cell>
        </row>
        <row r="2637">
          <cell r="A2637" t="str">
            <v>ORD_003655</v>
          </cell>
        </row>
        <row r="2638">
          <cell r="A2638" t="str">
            <v>ORD_000911</v>
          </cell>
        </row>
        <row r="2639">
          <cell r="A2639" t="str">
            <v>ORD_001147</v>
          </cell>
        </row>
        <row r="2640">
          <cell r="A2640" t="str">
            <v>ORD_000589</v>
          </cell>
        </row>
        <row r="2641">
          <cell r="A2641" t="str">
            <v>ORD_002954</v>
          </cell>
        </row>
        <row r="2642">
          <cell r="A2642" t="str">
            <v>ORD_002528</v>
          </cell>
        </row>
        <row r="2643">
          <cell r="A2643" t="str">
            <v>ORD_002383</v>
          </cell>
        </row>
        <row r="2644">
          <cell r="A2644" t="str">
            <v>ORD_001216</v>
          </cell>
        </row>
        <row r="2645">
          <cell r="A2645" t="str">
            <v>ORD_001294</v>
          </cell>
        </row>
        <row r="2646">
          <cell r="A2646" t="str">
            <v>ORD_002463</v>
          </cell>
        </row>
        <row r="2647">
          <cell r="A2647" t="str">
            <v>ORD_002194</v>
          </cell>
        </row>
        <row r="2648">
          <cell r="A2648" t="str">
            <v>ORD_001306</v>
          </cell>
        </row>
        <row r="2649">
          <cell r="A2649" t="str">
            <v>ORD_001485</v>
          </cell>
        </row>
        <row r="2650">
          <cell r="A2650" t="str">
            <v>ORD_001394</v>
          </cell>
        </row>
        <row r="2651">
          <cell r="A2651" t="str">
            <v>ORD_003199</v>
          </cell>
        </row>
        <row r="2652">
          <cell r="A2652" t="str">
            <v>ORD_004804</v>
          </cell>
        </row>
        <row r="2653">
          <cell r="A2653" t="str">
            <v>ORD_004670</v>
          </cell>
        </row>
        <row r="2654">
          <cell r="A2654" t="str">
            <v>ORD_002457</v>
          </cell>
        </row>
        <row r="2655">
          <cell r="A2655" t="str">
            <v>ORD_003349</v>
          </cell>
        </row>
        <row r="2656">
          <cell r="A2656" t="str">
            <v>ORD_001708</v>
          </cell>
        </row>
        <row r="2657">
          <cell r="A2657" t="str">
            <v>ORD_003095</v>
          </cell>
        </row>
        <row r="2658">
          <cell r="A2658" t="str">
            <v>ORD_003426</v>
          </cell>
        </row>
        <row r="2659">
          <cell r="A2659" t="str">
            <v>ORD_003054</v>
          </cell>
        </row>
        <row r="2660">
          <cell r="A2660" t="str">
            <v>ORD_001083</v>
          </cell>
        </row>
        <row r="2661">
          <cell r="A2661" t="str">
            <v>ORD_003568</v>
          </cell>
        </row>
        <row r="2662">
          <cell r="A2662" t="str">
            <v>ORD_000307</v>
          </cell>
        </row>
        <row r="2663">
          <cell r="A2663" t="str">
            <v>ORD_002585</v>
          </cell>
        </row>
        <row r="2664">
          <cell r="A2664" t="str">
            <v>ORD_001453</v>
          </cell>
        </row>
        <row r="2665">
          <cell r="A2665" t="str">
            <v>ORD_001925</v>
          </cell>
        </row>
        <row r="2666">
          <cell r="A2666" t="str">
            <v>ORD_003011</v>
          </cell>
        </row>
        <row r="2667">
          <cell r="A2667" t="str">
            <v>ORD_000933</v>
          </cell>
        </row>
        <row r="2668">
          <cell r="A2668" t="str">
            <v>ORD_000706</v>
          </cell>
        </row>
        <row r="2669">
          <cell r="A2669" t="str">
            <v>ORD_000310</v>
          </cell>
        </row>
        <row r="2670">
          <cell r="A2670" t="str">
            <v>ORD_003037</v>
          </cell>
        </row>
        <row r="2671">
          <cell r="A2671" t="str">
            <v>ORD_003800</v>
          </cell>
        </row>
        <row r="2672">
          <cell r="A2672" t="str">
            <v>ORD_003211</v>
          </cell>
        </row>
        <row r="2673">
          <cell r="A2673" t="str">
            <v>ORD_000791</v>
          </cell>
        </row>
        <row r="2674">
          <cell r="A2674" t="str">
            <v>ORD_000732</v>
          </cell>
        </row>
        <row r="2675">
          <cell r="A2675" t="str">
            <v>ORD_002235</v>
          </cell>
        </row>
        <row r="2676">
          <cell r="A2676" t="str">
            <v>ORD_001840</v>
          </cell>
        </row>
        <row r="2677">
          <cell r="A2677" t="str">
            <v>ORD_000251</v>
          </cell>
        </row>
        <row r="2678">
          <cell r="A2678" t="str">
            <v>ORD_003823</v>
          </cell>
        </row>
        <row r="2679">
          <cell r="A2679" t="str">
            <v>ORD_004155</v>
          </cell>
        </row>
        <row r="2680">
          <cell r="A2680" t="str">
            <v>ORD_001066</v>
          </cell>
        </row>
        <row r="2681">
          <cell r="A2681" t="str">
            <v>ORD_004560</v>
          </cell>
        </row>
        <row r="2682">
          <cell r="A2682" t="str">
            <v>ORD_001155</v>
          </cell>
        </row>
        <row r="2683">
          <cell r="A2683" t="str">
            <v>ORD_003340</v>
          </cell>
        </row>
        <row r="2684">
          <cell r="A2684" t="str">
            <v>ORD_004542</v>
          </cell>
        </row>
        <row r="2685">
          <cell r="A2685" t="str">
            <v>ORD_003108</v>
          </cell>
        </row>
        <row r="2686">
          <cell r="A2686" t="str">
            <v>ORD_000403</v>
          </cell>
        </row>
        <row r="2687">
          <cell r="A2687" t="str">
            <v>ORD_003212</v>
          </cell>
        </row>
        <row r="2688">
          <cell r="A2688" t="str">
            <v>ORD_000845</v>
          </cell>
        </row>
        <row r="2689">
          <cell r="A2689" t="str">
            <v>ORD_003298</v>
          </cell>
        </row>
        <row r="2690">
          <cell r="A2690" t="str">
            <v>ORD_003144</v>
          </cell>
        </row>
        <row r="2691">
          <cell r="A2691" t="str">
            <v>ORD_003629</v>
          </cell>
        </row>
        <row r="2692">
          <cell r="A2692" t="str">
            <v>ORD_004075</v>
          </cell>
        </row>
        <row r="2693">
          <cell r="A2693" t="str">
            <v>ORD_002563</v>
          </cell>
        </row>
        <row r="2694">
          <cell r="A2694" t="str">
            <v>ORD_003617</v>
          </cell>
        </row>
        <row r="2695">
          <cell r="A2695" t="str">
            <v>ORD_003065</v>
          </cell>
        </row>
        <row r="2696">
          <cell r="A2696" t="str">
            <v>ORD_001148</v>
          </cell>
        </row>
        <row r="2697">
          <cell r="A2697" t="str">
            <v>ORD_001862</v>
          </cell>
        </row>
        <row r="2698">
          <cell r="A2698" t="str">
            <v>ORD_002775</v>
          </cell>
        </row>
        <row r="2699">
          <cell r="A2699" t="str">
            <v>ORD_003172</v>
          </cell>
        </row>
        <row r="2700">
          <cell r="A2700" t="str">
            <v>ORD_004014</v>
          </cell>
        </row>
        <row r="2701">
          <cell r="A2701" t="str">
            <v>ORD_002408</v>
          </cell>
        </row>
        <row r="2702">
          <cell r="A2702" t="str">
            <v>ORD_001665</v>
          </cell>
        </row>
        <row r="2703">
          <cell r="A2703" t="str">
            <v>ORD_000367</v>
          </cell>
        </row>
        <row r="2704">
          <cell r="A2704" t="str">
            <v>ORD_001965</v>
          </cell>
        </row>
        <row r="2705">
          <cell r="A2705" t="str">
            <v>ORD_001393</v>
          </cell>
        </row>
        <row r="2706">
          <cell r="A2706" t="str">
            <v>ORD_003128</v>
          </cell>
        </row>
        <row r="2707">
          <cell r="A2707" t="str">
            <v>ORD_004137</v>
          </cell>
        </row>
        <row r="2708">
          <cell r="A2708" t="str">
            <v>ORD_001587</v>
          </cell>
        </row>
        <row r="2709">
          <cell r="A2709" t="str">
            <v>ORD_003740</v>
          </cell>
        </row>
        <row r="2710">
          <cell r="A2710" t="str">
            <v>ORD_002884</v>
          </cell>
        </row>
        <row r="2711">
          <cell r="A2711" t="str">
            <v>ORD_001014</v>
          </cell>
        </row>
        <row r="2712">
          <cell r="A2712" t="str">
            <v>ORD_001111</v>
          </cell>
        </row>
        <row r="2713">
          <cell r="A2713" t="str">
            <v>ORD_004153</v>
          </cell>
        </row>
        <row r="2714">
          <cell r="A2714" t="str">
            <v>ORD_001431</v>
          </cell>
        </row>
        <row r="2715">
          <cell r="A2715" t="str">
            <v>ORD_002870</v>
          </cell>
        </row>
        <row r="2716">
          <cell r="A2716" t="str">
            <v>ORD_003975</v>
          </cell>
        </row>
        <row r="2717">
          <cell r="A2717" t="str">
            <v>ORD_004489</v>
          </cell>
        </row>
        <row r="2718">
          <cell r="A2718" t="str">
            <v>ORD_000802</v>
          </cell>
        </row>
        <row r="2719">
          <cell r="A2719" t="str">
            <v>ORD_000242</v>
          </cell>
        </row>
        <row r="2720">
          <cell r="A2720" t="str">
            <v>ORD_002328</v>
          </cell>
        </row>
        <row r="2721">
          <cell r="A2721" t="str">
            <v>ORD_000300</v>
          </cell>
        </row>
        <row r="2722">
          <cell r="A2722" t="str">
            <v>ORD_000865</v>
          </cell>
        </row>
        <row r="2723">
          <cell r="A2723" t="str">
            <v>ORD_001362</v>
          </cell>
        </row>
        <row r="2724">
          <cell r="A2724" t="str">
            <v>ORD_004292</v>
          </cell>
        </row>
        <row r="2725">
          <cell r="A2725" t="str">
            <v>ORD_002044</v>
          </cell>
        </row>
        <row r="2726">
          <cell r="A2726" t="str">
            <v>ORD_000366</v>
          </cell>
        </row>
        <row r="2727">
          <cell r="A2727" t="str">
            <v>ORD_003742</v>
          </cell>
        </row>
        <row r="2728">
          <cell r="A2728" t="str">
            <v>ORD_004454</v>
          </cell>
        </row>
        <row r="2729">
          <cell r="A2729" t="str">
            <v>ORD_002060</v>
          </cell>
        </row>
        <row r="2730">
          <cell r="A2730" t="str">
            <v>ORD_001505</v>
          </cell>
        </row>
        <row r="2731">
          <cell r="A2731" t="str">
            <v>ORD_000861</v>
          </cell>
        </row>
        <row r="2732">
          <cell r="A2732" t="str">
            <v>ORD_004272</v>
          </cell>
        </row>
        <row r="2733">
          <cell r="A2733" t="str">
            <v>ORD_001041</v>
          </cell>
        </row>
        <row r="2734">
          <cell r="A2734" t="str">
            <v>ORD_000388</v>
          </cell>
        </row>
        <row r="2735">
          <cell r="A2735" t="str">
            <v>ORD_000226</v>
          </cell>
        </row>
        <row r="2736">
          <cell r="A2736" t="str">
            <v>ORD_001426</v>
          </cell>
        </row>
        <row r="2737">
          <cell r="A2737" t="str">
            <v>ORD_000504</v>
          </cell>
        </row>
        <row r="2738">
          <cell r="A2738" t="str">
            <v>ORD_004431</v>
          </cell>
        </row>
        <row r="2739">
          <cell r="A2739" t="str">
            <v>ORD_003033</v>
          </cell>
        </row>
        <row r="2740">
          <cell r="A2740" t="str">
            <v>ORD_001061</v>
          </cell>
        </row>
        <row r="2741">
          <cell r="A2741" t="str">
            <v>ORD_003142</v>
          </cell>
        </row>
        <row r="2742">
          <cell r="A2742" t="str">
            <v>ORD_003693</v>
          </cell>
        </row>
        <row r="2743">
          <cell r="A2743" t="str">
            <v>ORD_004228</v>
          </cell>
        </row>
        <row r="2744">
          <cell r="A2744" t="str">
            <v>ORD_003707</v>
          </cell>
        </row>
        <row r="2745">
          <cell r="A2745" t="str">
            <v>ORD_004308</v>
          </cell>
        </row>
        <row r="2746">
          <cell r="A2746" t="str">
            <v>ORD_000995</v>
          </cell>
        </row>
        <row r="2747">
          <cell r="A2747" t="str">
            <v>ORD_004280</v>
          </cell>
        </row>
        <row r="2748">
          <cell r="A2748" t="str">
            <v>ORD_001751</v>
          </cell>
        </row>
        <row r="2749">
          <cell r="A2749" t="str">
            <v>ORD_003390</v>
          </cell>
        </row>
        <row r="2750">
          <cell r="A2750" t="str">
            <v>ORD_004898</v>
          </cell>
        </row>
        <row r="2751">
          <cell r="A2751" t="str">
            <v>ORD_003887</v>
          </cell>
        </row>
        <row r="2752">
          <cell r="A2752" t="str">
            <v>ORD_001160</v>
          </cell>
        </row>
        <row r="2753">
          <cell r="A2753" t="str">
            <v>ORD_001141</v>
          </cell>
        </row>
        <row r="2754">
          <cell r="A2754" t="str">
            <v>ORD_001069</v>
          </cell>
        </row>
        <row r="2755">
          <cell r="A2755" t="str">
            <v>ORD_001304</v>
          </cell>
        </row>
        <row r="2756">
          <cell r="A2756" t="str">
            <v>ORD_002718</v>
          </cell>
        </row>
        <row r="2757">
          <cell r="A2757" t="str">
            <v>ORD_003697</v>
          </cell>
        </row>
        <row r="2758">
          <cell r="A2758" t="str">
            <v>ORD_001868</v>
          </cell>
        </row>
        <row r="2759">
          <cell r="A2759" t="str">
            <v>ORD_004303</v>
          </cell>
        </row>
        <row r="2760">
          <cell r="A2760" t="str">
            <v>ORD_004023</v>
          </cell>
        </row>
        <row r="2761">
          <cell r="A2761" t="str">
            <v>ORD_004863</v>
          </cell>
        </row>
        <row r="2762">
          <cell r="A2762" t="str">
            <v>ORD_003257</v>
          </cell>
        </row>
        <row r="2763">
          <cell r="A2763" t="str">
            <v>ORD_003967</v>
          </cell>
        </row>
        <row r="2764">
          <cell r="A2764" t="str">
            <v>ORD_001729</v>
          </cell>
        </row>
        <row r="2765">
          <cell r="A2765" t="str">
            <v>ORD_002175</v>
          </cell>
        </row>
        <row r="2766">
          <cell r="A2766" t="str">
            <v>ORD_002758</v>
          </cell>
        </row>
        <row r="2767">
          <cell r="A2767" t="str">
            <v>ORD_001266</v>
          </cell>
        </row>
        <row r="2768">
          <cell r="A2768" t="str">
            <v>ORD_000160</v>
          </cell>
        </row>
        <row r="2769">
          <cell r="A2769" t="str">
            <v>ORD_004329</v>
          </cell>
        </row>
        <row r="2770">
          <cell r="A2770" t="str">
            <v>ORD_001463</v>
          </cell>
        </row>
        <row r="2771">
          <cell r="A2771" t="str">
            <v>ORD_004478</v>
          </cell>
        </row>
        <row r="2772">
          <cell r="A2772" t="str">
            <v>ORD_004647</v>
          </cell>
        </row>
        <row r="2773">
          <cell r="A2773" t="str">
            <v>ORD_003983</v>
          </cell>
        </row>
        <row r="2774">
          <cell r="A2774" t="str">
            <v>ORD_004300</v>
          </cell>
        </row>
        <row r="2775">
          <cell r="A2775" t="str">
            <v>ORD_001037</v>
          </cell>
        </row>
        <row r="2776">
          <cell r="A2776" t="str">
            <v>ORD_003239</v>
          </cell>
        </row>
        <row r="2777">
          <cell r="A2777" t="str">
            <v>ORD_002949</v>
          </cell>
        </row>
        <row r="2778">
          <cell r="A2778" t="str">
            <v>ORD_003550</v>
          </cell>
        </row>
        <row r="2779">
          <cell r="A2779" t="str">
            <v>ORD_001318</v>
          </cell>
        </row>
        <row r="2780">
          <cell r="A2780" t="str">
            <v>ORD_000745</v>
          </cell>
        </row>
        <row r="2781">
          <cell r="A2781" t="str">
            <v>ORD_003650</v>
          </cell>
        </row>
        <row r="2782">
          <cell r="A2782" t="str">
            <v>ORD_002081</v>
          </cell>
        </row>
        <row r="2783">
          <cell r="A2783" t="str">
            <v>ORD_001555</v>
          </cell>
        </row>
        <row r="2784">
          <cell r="A2784" t="str">
            <v>ORD_002864</v>
          </cell>
        </row>
        <row r="2785">
          <cell r="A2785" t="str">
            <v>ORD_001611</v>
          </cell>
        </row>
        <row r="2786">
          <cell r="A2786" t="str">
            <v>ORD_002936</v>
          </cell>
        </row>
        <row r="2787">
          <cell r="A2787" t="str">
            <v>ORD_004746</v>
          </cell>
        </row>
        <row r="2788">
          <cell r="A2788" t="str">
            <v>ORD_002610</v>
          </cell>
        </row>
        <row r="2789">
          <cell r="A2789" t="str">
            <v>ORD_002612</v>
          </cell>
        </row>
        <row r="2790">
          <cell r="A2790" t="str">
            <v>ORD_004776</v>
          </cell>
        </row>
        <row r="2791">
          <cell r="A2791" t="str">
            <v>ORD_002704</v>
          </cell>
        </row>
        <row r="2792">
          <cell r="A2792" t="str">
            <v>ORD_004060</v>
          </cell>
        </row>
        <row r="2793">
          <cell r="A2793" t="str">
            <v>ORD_003685</v>
          </cell>
        </row>
        <row r="2794">
          <cell r="A2794" t="str">
            <v>ORD_002494</v>
          </cell>
        </row>
        <row r="2795">
          <cell r="A2795" t="str">
            <v>ORD_003807</v>
          </cell>
        </row>
        <row r="2796">
          <cell r="A2796" t="str">
            <v>ORD_001385</v>
          </cell>
        </row>
        <row r="2797">
          <cell r="A2797" t="str">
            <v>ORD_000139</v>
          </cell>
        </row>
        <row r="2798">
          <cell r="A2798" t="str">
            <v>ORD_004781</v>
          </cell>
        </row>
        <row r="2799">
          <cell r="A2799" t="str">
            <v>ORD_002930</v>
          </cell>
        </row>
        <row r="2800">
          <cell r="A2800" t="str">
            <v>ORD_002933</v>
          </cell>
        </row>
        <row r="2801">
          <cell r="A2801" t="str">
            <v>ORD_001349</v>
          </cell>
        </row>
        <row r="2802">
          <cell r="A2802" t="str">
            <v>ORD_004651</v>
          </cell>
        </row>
        <row r="2803">
          <cell r="A2803" t="str">
            <v>ORD_001264</v>
          </cell>
        </row>
        <row r="2804">
          <cell r="A2804" t="str">
            <v>ORD_003865</v>
          </cell>
        </row>
        <row r="2805">
          <cell r="A2805" t="str">
            <v>ORD_003003</v>
          </cell>
        </row>
        <row r="2806">
          <cell r="A2806" t="str">
            <v>ORD_001659</v>
          </cell>
        </row>
        <row r="2807">
          <cell r="A2807" t="str">
            <v>ORD_002236</v>
          </cell>
        </row>
        <row r="2808">
          <cell r="A2808" t="str">
            <v>ORD_004687</v>
          </cell>
        </row>
        <row r="2809">
          <cell r="A2809" t="str">
            <v>ORD_002090</v>
          </cell>
        </row>
        <row r="2810">
          <cell r="A2810" t="str">
            <v>ORD_004133</v>
          </cell>
        </row>
        <row r="2811">
          <cell r="A2811" t="str">
            <v>ORD_000203</v>
          </cell>
        </row>
        <row r="2812">
          <cell r="A2812" t="str">
            <v>ORD_003092</v>
          </cell>
        </row>
        <row r="2813">
          <cell r="A2813" t="str">
            <v>ORD_002437</v>
          </cell>
        </row>
        <row r="2814">
          <cell r="A2814" t="str">
            <v>ORD_000404</v>
          </cell>
        </row>
        <row r="2815">
          <cell r="A2815" t="str">
            <v>ORD_003327</v>
          </cell>
        </row>
        <row r="2816">
          <cell r="A2816" t="str">
            <v>ORD_001848</v>
          </cell>
        </row>
        <row r="2817">
          <cell r="A2817" t="str">
            <v>ORD_004829</v>
          </cell>
        </row>
        <row r="2818">
          <cell r="A2818" t="str">
            <v>ORD_003517</v>
          </cell>
        </row>
        <row r="2819">
          <cell r="A2819" t="str">
            <v>ORD_003756</v>
          </cell>
        </row>
        <row r="2820">
          <cell r="A2820" t="str">
            <v>ORD_002395</v>
          </cell>
        </row>
        <row r="2821">
          <cell r="A2821" t="str">
            <v>ORD_002832</v>
          </cell>
        </row>
        <row r="2822">
          <cell r="A2822" t="str">
            <v>ORD_001466</v>
          </cell>
        </row>
        <row r="2823">
          <cell r="A2823" t="str">
            <v>ORD_002803</v>
          </cell>
        </row>
        <row r="2824">
          <cell r="A2824" t="str">
            <v>ORD_004916</v>
          </cell>
        </row>
        <row r="2825">
          <cell r="A2825" t="str">
            <v>ORD_004298</v>
          </cell>
        </row>
        <row r="2826">
          <cell r="A2826" t="str">
            <v>ORD_002979</v>
          </cell>
        </row>
        <row r="2827">
          <cell r="A2827" t="str">
            <v>ORD_002940</v>
          </cell>
        </row>
        <row r="2828">
          <cell r="A2828" t="str">
            <v>ORD_000783</v>
          </cell>
        </row>
        <row r="2829">
          <cell r="A2829" t="str">
            <v>ORD_001890</v>
          </cell>
        </row>
        <row r="2830">
          <cell r="A2830" t="str">
            <v>ORD_003260</v>
          </cell>
        </row>
        <row r="2831">
          <cell r="A2831" t="str">
            <v>ORD_002246</v>
          </cell>
        </row>
        <row r="2832">
          <cell r="A2832" t="str">
            <v>ORD_000022</v>
          </cell>
        </row>
        <row r="2833">
          <cell r="A2833" t="str">
            <v>ORD_000503</v>
          </cell>
        </row>
        <row r="2834">
          <cell r="A2834" t="str">
            <v>ORD_003732</v>
          </cell>
        </row>
        <row r="2835">
          <cell r="A2835" t="str">
            <v>ORD_003375</v>
          </cell>
        </row>
        <row r="2836">
          <cell r="A2836" t="str">
            <v>ORD_000988</v>
          </cell>
        </row>
        <row r="2837">
          <cell r="A2837" t="str">
            <v>ORD_000667</v>
          </cell>
        </row>
        <row r="2838">
          <cell r="A2838" t="str">
            <v>ORD_002521</v>
          </cell>
        </row>
        <row r="2839">
          <cell r="A2839" t="str">
            <v>ORD_004683</v>
          </cell>
        </row>
        <row r="2840">
          <cell r="A2840" t="str">
            <v>ORD_001415</v>
          </cell>
        </row>
        <row r="2841">
          <cell r="A2841" t="str">
            <v>ORD_000213</v>
          </cell>
        </row>
        <row r="2842">
          <cell r="A2842" t="str">
            <v>ORD_000458</v>
          </cell>
        </row>
        <row r="2843">
          <cell r="A2843" t="str">
            <v>ORD_004079</v>
          </cell>
        </row>
        <row r="2844">
          <cell r="A2844" t="str">
            <v>ORD_003029</v>
          </cell>
        </row>
        <row r="2845">
          <cell r="A2845" t="str">
            <v>ORD_002220</v>
          </cell>
        </row>
        <row r="2846">
          <cell r="A2846" t="str">
            <v>ORD_000206</v>
          </cell>
        </row>
        <row r="2847">
          <cell r="A2847" t="str">
            <v>ORD_002203</v>
          </cell>
        </row>
        <row r="2848">
          <cell r="A2848" t="str">
            <v>ORD_002338</v>
          </cell>
        </row>
        <row r="2849">
          <cell r="A2849" t="str">
            <v>ORD_001961</v>
          </cell>
        </row>
        <row r="2850">
          <cell r="A2850" t="str">
            <v>ORD_002523</v>
          </cell>
        </row>
        <row r="2851">
          <cell r="A2851" t="str">
            <v>ORD_003001</v>
          </cell>
        </row>
        <row r="2852">
          <cell r="A2852" t="str">
            <v>ORD_002750</v>
          </cell>
        </row>
        <row r="2853">
          <cell r="A2853" t="str">
            <v>ORD_001388</v>
          </cell>
        </row>
        <row r="2854">
          <cell r="A2854" t="str">
            <v>ORD_004637</v>
          </cell>
        </row>
        <row r="2855">
          <cell r="A2855" t="str">
            <v>ORD_000409</v>
          </cell>
        </row>
        <row r="2856">
          <cell r="A2856" t="str">
            <v>ORD_001402</v>
          </cell>
        </row>
        <row r="2857">
          <cell r="A2857" t="str">
            <v>ORD_000613</v>
          </cell>
        </row>
        <row r="2858">
          <cell r="A2858" t="str">
            <v>ORD_000159</v>
          </cell>
        </row>
        <row r="2859">
          <cell r="A2859" t="str">
            <v>ORD_002319</v>
          </cell>
        </row>
        <row r="2860">
          <cell r="A2860" t="str">
            <v>ORD_004796</v>
          </cell>
        </row>
        <row r="2861">
          <cell r="A2861" t="str">
            <v>ORD_003031</v>
          </cell>
        </row>
        <row r="2862">
          <cell r="A2862" t="str">
            <v>ORD_002150</v>
          </cell>
        </row>
        <row r="2863">
          <cell r="A2863" t="str">
            <v>ORD_000705</v>
          </cell>
        </row>
        <row r="2864">
          <cell r="A2864" t="str">
            <v>ORD_004331</v>
          </cell>
        </row>
        <row r="2865">
          <cell r="A2865" t="str">
            <v>ORD_003392</v>
          </cell>
        </row>
        <row r="2866">
          <cell r="A2866" t="str">
            <v>ORD_004703</v>
          </cell>
        </row>
        <row r="2867">
          <cell r="A2867" t="str">
            <v>ORD_004263</v>
          </cell>
        </row>
        <row r="2868">
          <cell r="A2868" t="str">
            <v>ORD_004117</v>
          </cell>
        </row>
        <row r="2869">
          <cell r="A2869" t="str">
            <v>ORD_002146</v>
          </cell>
        </row>
        <row r="2870">
          <cell r="A2870" t="str">
            <v>ORD_000636</v>
          </cell>
        </row>
        <row r="2871">
          <cell r="A2871" t="str">
            <v>ORD_004778</v>
          </cell>
        </row>
        <row r="2872">
          <cell r="A2872" t="str">
            <v>ORD_003649</v>
          </cell>
        </row>
        <row r="2873">
          <cell r="A2873" t="str">
            <v>ORD_002659</v>
          </cell>
        </row>
        <row r="2874">
          <cell r="A2874" t="str">
            <v>ORD_002051</v>
          </cell>
        </row>
        <row r="2875">
          <cell r="A2875" t="str">
            <v>ORD_003398</v>
          </cell>
        </row>
        <row r="2876">
          <cell r="A2876" t="str">
            <v>ORD_002424</v>
          </cell>
        </row>
        <row r="2877">
          <cell r="A2877" t="str">
            <v>ORD_001844</v>
          </cell>
        </row>
        <row r="2878">
          <cell r="A2878" t="str">
            <v>ORD_003934</v>
          </cell>
        </row>
        <row r="2879">
          <cell r="A2879" t="str">
            <v>ORD_004988</v>
          </cell>
        </row>
        <row r="2880">
          <cell r="A2880" t="str">
            <v>ORD_002581</v>
          </cell>
        </row>
        <row r="2881">
          <cell r="A2881" t="str">
            <v>ORD_003016</v>
          </cell>
        </row>
        <row r="2882">
          <cell r="A2882" t="str">
            <v>ORD_002901</v>
          </cell>
        </row>
        <row r="2883">
          <cell r="A2883" t="str">
            <v>ORD_000714</v>
          </cell>
        </row>
        <row r="2884">
          <cell r="A2884" t="str">
            <v>ORD_004447</v>
          </cell>
        </row>
        <row r="2885">
          <cell r="A2885" t="str">
            <v>ORD_003290</v>
          </cell>
        </row>
        <row r="2886">
          <cell r="A2886" t="str">
            <v>ORD_002499</v>
          </cell>
        </row>
        <row r="2887">
          <cell r="A2887" t="str">
            <v>ORD_000296</v>
          </cell>
        </row>
        <row r="2888">
          <cell r="A2888" t="str">
            <v>ORD_002931</v>
          </cell>
        </row>
        <row r="2889">
          <cell r="A2889" t="str">
            <v>ORD_001335</v>
          </cell>
        </row>
        <row r="2890">
          <cell r="A2890" t="str">
            <v>ORD_004405</v>
          </cell>
        </row>
        <row r="2891">
          <cell r="A2891" t="str">
            <v>ORD_004178</v>
          </cell>
        </row>
        <row r="2892">
          <cell r="A2892" t="str">
            <v>ORD_002415</v>
          </cell>
        </row>
        <row r="2893">
          <cell r="A2893" t="str">
            <v>ORD_002790</v>
          </cell>
        </row>
        <row r="2894">
          <cell r="A2894" t="str">
            <v>ORD_004835</v>
          </cell>
        </row>
        <row r="2895">
          <cell r="A2895" t="str">
            <v>ORD_000272</v>
          </cell>
        </row>
        <row r="2896">
          <cell r="A2896" t="str">
            <v>ORD_004749</v>
          </cell>
        </row>
        <row r="2897">
          <cell r="A2897" t="str">
            <v>ORD_001055</v>
          </cell>
        </row>
        <row r="2898">
          <cell r="A2898" t="str">
            <v>ORD_002705</v>
          </cell>
        </row>
        <row r="2899">
          <cell r="A2899" t="str">
            <v>ORD_004547</v>
          </cell>
        </row>
        <row r="2900">
          <cell r="A2900" t="str">
            <v>ORD_000762</v>
          </cell>
        </row>
        <row r="2901">
          <cell r="A2901" t="str">
            <v>ORD_001295</v>
          </cell>
        </row>
        <row r="2902">
          <cell r="A2902" t="str">
            <v>ORD_002808</v>
          </cell>
        </row>
        <row r="2903">
          <cell r="A2903" t="str">
            <v>ORD_002817</v>
          </cell>
        </row>
        <row r="2904">
          <cell r="A2904" t="str">
            <v>ORD_003012</v>
          </cell>
        </row>
        <row r="2905">
          <cell r="A2905" t="str">
            <v>ORD_001345</v>
          </cell>
        </row>
        <row r="2906">
          <cell r="A2906" t="str">
            <v>ORD_004119</v>
          </cell>
        </row>
        <row r="2907">
          <cell r="A2907" t="str">
            <v>ORD_004635</v>
          </cell>
        </row>
        <row r="2908">
          <cell r="A2908" t="str">
            <v>ORD_003103</v>
          </cell>
        </row>
        <row r="2909">
          <cell r="A2909" t="str">
            <v>ORD_002615</v>
          </cell>
        </row>
        <row r="2910">
          <cell r="A2910" t="str">
            <v>ORD_003383</v>
          </cell>
        </row>
        <row r="2911">
          <cell r="A2911" t="str">
            <v>ORD_000646</v>
          </cell>
        </row>
        <row r="2912">
          <cell r="A2912" t="str">
            <v>ORD_000801</v>
          </cell>
        </row>
        <row r="2913">
          <cell r="A2913" t="str">
            <v>ORD_004152</v>
          </cell>
        </row>
        <row r="2914">
          <cell r="A2914" t="str">
            <v>ORD_003958</v>
          </cell>
        </row>
        <row r="2915">
          <cell r="A2915" t="str">
            <v>ORD_004907</v>
          </cell>
        </row>
        <row r="2916">
          <cell r="A2916" t="str">
            <v>ORD_003535</v>
          </cell>
        </row>
        <row r="2917">
          <cell r="A2917" t="str">
            <v>ORD_001856</v>
          </cell>
        </row>
        <row r="2918">
          <cell r="A2918" t="str">
            <v>ORD_001183</v>
          </cell>
        </row>
        <row r="2919">
          <cell r="A2919" t="str">
            <v>ORD_000432</v>
          </cell>
        </row>
        <row r="2920">
          <cell r="A2920" t="str">
            <v>ORD_001007</v>
          </cell>
        </row>
        <row r="2921">
          <cell r="A2921" t="str">
            <v>ORD_004748</v>
          </cell>
        </row>
        <row r="2922">
          <cell r="A2922" t="str">
            <v>ORD_002255</v>
          </cell>
        </row>
        <row r="2923">
          <cell r="A2923" t="str">
            <v>ORD_003067</v>
          </cell>
        </row>
        <row r="2924">
          <cell r="A2924" t="str">
            <v>ORD_003557</v>
          </cell>
        </row>
        <row r="2925">
          <cell r="A2925" t="str">
            <v>ORD_001116</v>
          </cell>
        </row>
        <row r="2926">
          <cell r="A2926" t="str">
            <v>ORD_002134</v>
          </cell>
        </row>
        <row r="2927">
          <cell r="A2927" t="str">
            <v>ORD_002516</v>
          </cell>
        </row>
        <row r="2928">
          <cell r="A2928" t="str">
            <v>ORD_003712</v>
          </cell>
        </row>
        <row r="2929">
          <cell r="A2929" t="str">
            <v>ORD_003765</v>
          </cell>
        </row>
        <row r="2930">
          <cell r="A2930" t="str">
            <v>ORD_002254</v>
          </cell>
        </row>
        <row r="2931">
          <cell r="A2931" t="str">
            <v>ORD_003256</v>
          </cell>
        </row>
        <row r="2932">
          <cell r="A2932" t="str">
            <v>ORD_004769</v>
          </cell>
        </row>
        <row r="2933">
          <cell r="A2933" t="str">
            <v>ORD_001836</v>
          </cell>
        </row>
        <row r="2934">
          <cell r="A2934" t="str">
            <v>ORD_003770</v>
          </cell>
        </row>
        <row r="2935">
          <cell r="A2935" t="str">
            <v>ORD_001475</v>
          </cell>
        </row>
        <row r="2936">
          <cell r="A2936" t="str">
            <v>ORD_002061</v>
          </cell>
        </row>
        <row r="2937">
          <cell r="A2937" t="str">
            <v>ORD_002519</v>
          </cell>
        </row>
        <row r="2938">
          <cell r="A2938" t="str">
            <v>ORD_002314</v>
          </cell>
        </row>
        <row r="2939">
          <cell r="A2939" t="str">
            <v>ORD_002343</v>
          </cell>
        </row>
        <row r="2940">
          <cell r="A2940" t="str">
            <v>ORD_003109</v>
          </cell>
        </row>
        <row r="2941">
          <cell r="A2941" t="str">
            <v>ORD_003364</v>
          </cell>
        </row>
        <row r="2942">
          <cell r="A2942" t="str">
            <v>ORD_002776</v>
          </cell>
        </row>
        <row r="2943">
          <cell r="A2943" t="str">
            <v>ORD_003816</v>
          </cell>
        </row>
        <row r="2944">
          <cell r="A2944" t="str">
            <v>ORD_002396</v>
          </cell>
        </row>
        <row r="2945">
          <cell r="A2945" t="str">
            <v>ORD_000476</v>
          </cell>
        </row>
        <row r="2946">
          <cell r="A2946" t="str">
            <v>ORD_003366</v>
          </cell>
        </row>
        <row r="2947">
          <cell r="A2947" t="str">
            <v>ORD_000178</v>
          </cell>
        </row>
        <row r="2948">
          <cell r="A2948" t="str">
            <v>ORD_000255</v>
          </cell>
        </row>
        <row r="2949">
          <cell r="A2949" t="str">
            <v>ORD_004655</v>
          </cell>
        </row>
        <row r="2950">
          <cell r="A2950" t="str">
            <v>ORD_003457</v>
          </cell>
        </row>
        <row r="2951">
          <cell r="A2951" t="str">
            <v>ORD_002476</v>
          </cell>
        </row>
        <row r="2952">
          <cell r="A2952" t="str">
            <v>ORD_004229</v>
          </cell>
        </row>
        <row r="2953">
          <cell r="A2953" t="str">
            <v>ORD_002017</v>
          </cell>
        </row>
        <row r="2954">
          <cell r="A2954" t="str">
            <v>ORD_001540</v>
          </cell>
        </row>
        <row r="2955">
          <cell r="A2955" t="str">
            <v>ORD_003190</v>
          </cell>
        </row>
        <row r="2956">
          <cell r="A2956" t="str">
            <v>ORD_001887</v>
          </cell>
        </row>
        <row r="2957">
          <cell r="A2957" t="str">
            <v>ORD_000406</v>
          </cell>
        </row>
        <row r="2958">
          <cell r="A2958" t="str">
            <v>ORD_000222</v>
          </cell>
        </row>
        <row r="2959">
          <cell r="A2959" t="str">
            <v>ORD_003750</v>
          </cell>
        </row>
        <row r="2960">
          <cell r="A2960" t="str">
            <v>ORD_004583</v>
          </cell>
        </row>
        <row r="2961">
          <cell r="A2961" t="str">
            <v>ORD_002693</v>
          </cell>
        </row>
        <row r="2962">
          <cell r="A2962" t="str">
            <v>ORD_003583</v>
          </cell>
        </row>
        <row r="2963">
          <cell r="A2963" t="str">
            <v>ORD_001085</v>
          </cell>
        </row>
        <row r="2964">
          <cell r="A2964" t="str">
            <v>ORD_001658</v>
          </cell>
        </row>
        <row r="2965">
          <cell r="A2965" t="str">
            <v>ORD_002149</v>
          </cell>
        </row>
        <row r="2966">
          <cell r="A2966" t="str">
            <v>ORD_004895</v>
          </cell>
        </row>
        <row r="2967">
          <cell r="A2967" t="str">
            <v>ORD_000774</v>
          </cell>
        </row>
        <row r="2968">
          <cell r="A2968" t="str">
            <v>ORD_003745</v>
          </cell>
        </row>
        <row r="2969">
          <cell r="A2969" t="str">
            <v>ORD_000246</v>
          </cell>
        </row>
        <row r="2970">
          <cell r="A2970" t="str">
            <v>ORD_003032</v>
          </cell>
        </row>
        <row r="2971">
          <cell r="A2971" t="str">
            <v>ORD_004393</v>
          </cell>
        </row>
        <row r="2972">
          <cell r="A2972" t="str">
            <v>ORD_003471</v>
          </cell>
        </row>
        <row r="2973">
          <cell r="A2973" t="str">
            <v>ORD_000983</v>
          </cell>
        </row>
        <row r="2974">
          <cell r="A2974" t="str">
            <v>ORD_002087</v>
          </cell>
        </row>
        <row r="2975">
          <cell r="A2975" t="str">
            <v>ORD_003114</v>
          </cell>
        </row>
        <row r="2976">
          <cell r="A2976" t="str">
            <v>ORD_004078</v>
          </cell>
        </row>
        <row r="2977">
          <cell r="A2977" t="str">
            <v>ORD_001129</v>
          </cell>
        </row>
        <row r="2978">
          <cell r="A2978" t="str">
            <v>ORD_000107</v>
          </cell>
        </row>
        <row r="2979">
          <cell r="A2979" t="str">
            <v>ORD_003643</v>
          </cell>
        </row>
        <row r="2980">
          <cell r="A2980" t="str">
            <v>ORD_002378</v>
          </cell>
        </row>
        <row r="2981">
          <cell r="A2981" t="str">
            <v>ORD_001499</v>
          </cell>
        </row>
        <row r="2982">
          <cell r="A2982" t="str">
            <v>ORD_002830</v>
          </cell>
        </row>
        <row r="2983">
          <cell r="A2983" t="str">
            <v>ORD_003226</v>
          </cell>
        </row>
        <row r="2984">
          <cell r="A2984" t="str">
            <v>ORD_004472</v>
          </cell>
        </row>
        <row r="2985">
          <cell r="A2985" t="str">
            <v>ORD_000879</v>
          </cell>
        </row>
        <row r="2986">
          <cell r="A2986" t="str">
            <v>ORD_004089</v>
          </cell>
        </row>
        <row r="2987">
          <cell r="A2987" t="str">
            <v>ORD_002496</v>
          </cell>
        </row>
        <row r="2988">
          <cell r="A2988" t="str">
            <v>ORD_000617</v>
          </cell>
        </row>
        <row r="2989">
          <cell r="A2989" t="str">
            <v>ORD_004958</v>
          </cell>
        </row>
        <row r="2990">
          <cell r="A2990" t="str">
            <v>ORD_004695</v>
          </cell>
        </row>
        <row r="2991">
          <cell r="A2991" t="str">
            <v>ORD_000339</v>
          </cell>
        </row>
        <row r="2992">
          <cell r="A2992" t="str">
            <v>ORD_002956</v>
          </cell>
        </row>
        <row r="2993">
          <cell r="A2993" t="str">
            <v>ORD_003596</v>
          </cell>
        </row>
        <row r="2994">
          <cell r="A2994" t="str">
            <v>ORD_001692</v>
          </cell>
        </row>
        <row r="2995">
          <cell r="A2995" t="str">
            <v>ORD_003378</v>
          </cell>
        </row>
        <row r="2996">
          <cell r="A2996" t="str">
            <v>ORD_003753</v>
          </cell>
        </row>
        <row r="2997">
          <cell r="A2997" t="str">
            <v>ORD_000063</v>
          </cell>
        </row>
        <row r="2998">
          <cell r="A2998" t="str">
            <v>ORD_004707</v>
          </cell>
        </row>
        <row r="2999">
          <cell r="A2999" t="str">
            <v>ORD_004218</v>
          </cell>
        </row>
        <row r="3000">
          <cell r="A3000" t="str">
            <v>ORD_000187</v>
          </cell>
        </row>
        <row r="3001">
          <cell r="A3001" t="str">
            <v>ORD_001104</v>
          </cell>
        </row>
        <row r="3002">
          <cell r="A3002" t="str">
            <v>ORD_001733</v>
          </cell>
        </row>
        <row r="3003">
          <cell r="A3003" t="str">
            <v>ORD_003351</v>
          </cell>
        </row>
        <row r="3004">
          <cell r="A3004" t="str">
            <v>ORD_004320</v>
          </cell>
        </row>
        <row r="3005">
          <cell r="A3005" t="str">
            <v>ORD_004396</v>
          </cell>
        </row>
        <row r="3006">
          <cell r="A3006" t="str">
            <v>ORD_004696</v>
          </cell>
        </row>
        <row r="3007">
          <cell r="A3007" t="str">
            <v>ORD_000648</v>
          </cell>
        </row>
        <row r="3008">
          <cell r="A3008" t="str">
            <v>ORD_000456</v>
          </cell>
        </row>
        <row r="3009">
          <cell r="A3009" t="str">
            <v>ORD_004274</v>
          </cell>
        </row>
        <row r="3010">
          <cell r="A3010" t="str">
            <v>ORD_001430</v>
          </cell>
        </row>
        <row r="3011">
          <cell r="A3011" t="str">
            <v>ORD_001012</v>
          </cell>
        </row>
        <row r="3012">
          <cell r="A3012" t="str">
            <v>ORD_003567</v>
          </cell>
        </row>
        <row r="3013">
          <cell r="A3013" t="str">
            <v>ORD_000149</v>
          </cell>
        </row>
        <row r="3014">
          <cell r="A3014" t="str">
            <v>ORD_003455</v>
          </cell>
        </row>
        <row r="3015">
          <cell r="A3015" t="str">
            <v>ORD_003176</v>
          </cell>
        </row>
        <row r="3016">
          <cell r="A3016" t="str">
            <v>ORD_000854</v>
          </cell>
        </row>
        <row r="3017">
          <cell r="A3017" t="str">
            <v>ORD_000260</v>
          </cell>
        </row>
        <row r="3018">
          <cell r="A3018" t="str">
            <v>ORD_001265</v>
          </cell>
        </row>
        <row r="3019">
          <cell r="A3019" t="str">
            <v>ORD_001655</v>
          </cell>
        </row>
        <row r="3020">
          <cell r="A3020" t="str">
            <v>ORD_000302</v>
          </cell>
        </row>
        <row r="3021">
          <cell r="A3021" t="str">
            <v>ORD_002340</v>
          </cell>
        </row>
        <row r="3022">
          <cell r="A3022" t="str">
            <v>ORD_000814</v>
          </cell>
        </row>
        <row r="3023">
          <cell r="A3023" t="str">
            <v>ORD_001741</v>
          </cell>
        </row>
        <row r="3024">
          <cell r="A3024" t="str">
            <v>ORD_003510</v>
          </cell>
        </row>
        <row r="3025">
          <cell r="A3025" t="str">
            <v>ORD_003855</v>
          </cell>
        </row>
        <row r="3026">
          <cell r="A3026" t="str">
            <v>ORD_000357</v>
          </cell>
        </row>
        <row r="3027">
          <cell r="A3027" t="str">
            <v>ORD_000220</v>
          </cell>
        </row>
        <row r="3028">
          <cell r="A3028" t="str">
            <v>ORD_003448</v>
          </cell>
        </row>
        <row r="3029">
          <cell r="A3029" t="str">
            <v>ORD_000914</v>
          </cell>
        </row>
        <row r="3030">
          <cell r="A3030" t="str">
            <v>ORD_001813</v>
          </cell>
        </row>
        <row r="3031">
          <cell r="A3031" t="str">
            <v>ORD_001507</v>
          </cell>
        </row>
        <row r="3032">
          <cell r="A3032" t="str">
            <v>ORD_004340</v>
          </cell>
        </row>
        <row r="3033">
          <cell r="A3033" t="str">
            <v>ORD_003423</v>
          </cell>
        </row>
        <row r="3034">
          <cell r="A3034" t="str">
            <v>ORD_003709</v>
          </cell>
        </row>
        <row r="3035">
          <cell r="A3035" t="str">
            <v>ORD_002738</v>
          </cell>
        </row>
        <row r="3036">
          <cell r="A3036" t="str">
            <v>ORD_001340</v>
          </cell>
        </row>
        <row r="3037">
          <cell r="A3037" t="str">
            <v>ORD_004877</v>
          </cell>
        </row>
        <row r="3038">
          <cell r="A3038" t="str">
            <v>ORD_000828</v>
          </cell>
        </row>
        <row r="3039">
          <cell r="A3039" t="str">
            <v>ORD_000396</v>
          </cell>
        </row>
        <row r="3040">
          <cell r="A3040" t="str">
            <v>ORD_001436</v>
          </cell>
        </row>
        <row r="3041">
          <cell r="A3041" t="str">
            <v>ORD_001239</v>
          </cell>
        </row>
        <row r="3042">
          <cell r="A3042" t="str">
            <v>ORD_002520</v>
          </cell>
        </row>
        <row r="3043">
          <cell r="A3043" t="str">
            <v>ORD_003829</v>
          </cell>
        </row>
        <row r="3044">
          <cell r="A3044" t="str">
            <v>ORD_003154</v>
          </cell>
        </row>
        <row r="3045">
          <cell r="A3045" t="str">
            <v>ORD_004083</v>
          </cell>
        </row>
        <row r="3046">
          <cell r="A3046" t="str">
            <v>ORD_001767</v>
          </cell>
        </row>
        <row r="3047">
          <cell r="A3047" t="str">
            <v>ORD_004337</v>
          </cell>
        </row>
        <row r="3048">
          <cell r="A3048" t="str">
            <v>ORD_002584</v>
          </cell>
        </row>
        <row r="3049">
          <cell r="A3049" t="str">
            <v>ORD_003255</v>
          </cell>
        </row>
        <row r="3050">
          <cell r="A3050" t="str">
            <v>ORD_000470</v>
          </cell>
        </row>
        <row r="3051">
          <cell r="A3051" t="str">
            <v>ORD_003469</v>
          </cell>
        </row>
        <row r="3052">
          <cell r="A3052" t="str">
            <v>ORD_004666</v>
          </cell>
        </row>
        <row r="3053">
          <cell r="A3053" t="str">
            <v>ORD_000857</v>
          </cell>
        </row>
        <row r="3054">
          <cell r="A3054" t="str">
            <v>ORD_004347</v>
          </cell>
        </row>
        <row r="3055">
          <cell r="A3055" t="str">
            <v>ORD_001570</v>
          </cell>
        </row>
        <row r="3056">
          <cell r="A3056" t="str">
            <v>ORD_000030</v>
          </cell>
        </row>
        <row r="3057">
          <cell r="A3057" t="str">
            <v>ORD_003116</v>
          </cell>
        </row>
        <row r="3058">
          <cell r="A3058" t="str">
            <v>ORD_000013</v>
          </cell>
        </row>
        <row r="3059">
          <cell r="A3059" t="str">
            <v>ORD_002626</v>
          </cell>
        </row>
        <row r="3060">
          <cell r="A3060" t="str">
            <v>ORD_003706</v>
          </cell>
        </row>
        <row r="3061">
          <cell r="A3061" t="str">
            <v>ORD_002553</v>
          </cell>
        </row>
        <row r="3062">
          <cell r="A3062" t="str">
            <v>ORD_004868</v>
          </cell>
        </row>
        <row r="3063">
          <cell r="A3063" t="str">
            <v>ORD_004038</v>
          </cell>
        </row>
        <row r="3064">
          <cell r="A3064" t="str">
            <v>ORD_000532</v>
          </cell>
        </row>
        <row r="3065">
          <cell r="A3065" t="str">
            <v>ORD_002866</v>
          </cell>
        </row>
        <row r="3066">
          <cell r="A3066" t="str">
            <v>ORD_001882</v>
          </cell>
        </row>
        <row r="3067">
          <cell r="A3067" t="str">
            <v>ORD_002473</v>
          </cell>
        </row>
        <row r="3068">
          <cell r="A3068" t="str">
            <v>ORD_000688</v>
          </cell>
        </row>
        <row r="3069">
          <cell r="A3069" t="str">
            <v>ORD_004484</v>
          </cell>
        </row>
        <row r="3070">
          <cell r="A3070" t="str">
            <v>ORD_003374</v>
          </cell>
        </row>
        <row r="3071">
          <cell r="A3071" t="str">
            <v>ORD_000786</v>
          </cell>
        </row>
        <row r="3072">
          <cell r="A3072" t="str">
            <v>ORD_003686</v>
          </cell>
        </row>
        <row r="3073">
          <cell r="A3073" t="str">
            <v>ORD_001089</v>
          </cell>
        </row>
        <row r="3074">
          <cell r="A3074" t="str">
            <v>ORD_004330</v>
          </cell>
        </row>
        <row r="3075">
          <cell r="A3075" t="str">
            <v>ORD_003348</v>
          </cell>
        </row>
        <row r="3076">
          <cell r="A3076" t="str">
            <v>ORD_003205</v>
          </cell>
        </row>
        <row r="3077">
          <cell r="A3077" t="str">
            <v>ORD_004042</v>
          </cell>
        </row>
        <row r="3078">
          <cell r="A3078" t="str">
            <v>ORD_000353</v>
          </cell>
        </row>
        <row r="3079">
          <cell r="A3079" t="str">
            <v>ORD_002737</v>
          </cell>
        </row>
        <row r="3080">
          <cell r="A3080" t="str">
            <v>ORD_000252</v>
          </cell>
        </row>
        <row r="3081">
          <cell r="A3081" t="str">
            <v>ORD_001356</v>
          </cell>
        </row>
        <row r="3082">
          <cell r="A3082" t="str">
            <v>ORD_001324</v>
          </cell>
        </row>
        <row r="3083">
          <cell r="A3083" t="str">
            <v>ORD_002982</v>
          </cell>
        </row>
        <row r="3084">
          <cell r="A3084" t="str">
            <v>ORD_001434</v>
          </cell>
        </row>
        <row r="3085">
          <cell r="A3085" t="str">
            <v>ORD_001397</v>
          </cell>
        </row>
        <row r="3086">
          <cell r="A3086" t="str">
            <v>ORD_000523</v>
          </cell>
        </row>
        <row r="3087">
          <cell r="A3087" t="str">
            <v>ORD_001208</v>
          </cell>
        </row>
        <row r="3088">
          <cell r="A3088" t="str">
            <v>ORD_000537</v>
          </cell>
        </row>
        <row r="3089">
          <cell r="A3089" t="str">
            <v>ORD_003746</v>
          </cell>
        </row>
        <row r="3090">
          <cell r="A3090" t="str">
            <v>ORD_002824</v>
          </cell>
        </row>
        <row r="3091">
          <cell r="A3091" t="str">
            <v>ORD_003799</v>
          </cell>
        </row>
        <row r="3092">
          <cell r="A3092" t="str">
            <v>ORD_001374</v>
          </cell>
        </row>
        <row r="3093">
          <cell r="A3093" t="str">
            <v>ORD_001372</v>
          </cell>
        </row>
        <row r="3094">
          <cell r="A3094" t="str">
            <v>ORD_000067</v>
          </cell>
        </row>
        <row r="3095">
          <cell r="A3095" t="str">
            <v>ORD_003637</v>
          </cell>
        </row>
        <row r="3096">
          <cell r="A3096" t="str">
            <v>ORD_002796</v>
          </cell>
        </row>
        <row r="3097">
          <cell r="A3097" t="str">
            <v>ORD_004180</v>
          </cell>
        </row>
        <row r="3098">
          <cell r="A3098" t="str">
            <v>ORD_002766</v>
          </cell>
        </row>
        <row r="3099">
          <cell r="A3099" t="str">
            <v>ORD_001902</v>
          </cell>
        </row>
        <row r="3100">
          <cell r="A3100" t="str">
            <v>ORD_003671</v>
          </cell>
        </row>
        <row r="3101">
          <cell r="A3101" t="str">
            <v>ORD_001796</v>
          </cell>
        </row>
        <row r="3102">
          <cell r="A3102" t="str">
            <v>ORD_002975</v>
          </cell>
        </row>
        <row r="3103">
          <cell r="A3103" t="str">
            <v>ORD_003890</v>
          </cell>
        </row>
        <row r="3104">
          <cell r="A3104" t="str">
            <v>ORD_000490</v>
          </cell>
        </row>
        <row r="3105">
          <cell r="A3105" t="str">
            <v>ORD_000480</v>
          </cell>
        </row>
        <row r="3106">
          <cell r="A3106" t="str">
            <v>ORD_000180</v>
          </cell>
        </row>
        <row r="3107">
          <cell r="A3107" t="str">
            <v>ORD_004811</v>
          </cell>
        </row>
        <row r="3108">
          <cell r="A3108" t="str">
            <v>ORD_002761</v>
          </cell>
        </row>
        <row r="3109">
          <cell r="A3109" t="str">
            <v>ORD_004848</v>
          </cell>
        </row>
        <row r="3110">
          <cell r="A3110" t="str">
            <v>ORD_003940</v>
          </cell>
        </row>
        <row r="3111">
          <cell r="A3111" t="str">
            <v>ORD_000675</v>
          </cell>
        </row>
        <row r="3112">
          <cell r="A3112" t="str">
            <v>ORD_002524</v>
          </cell>
        </row>
        <row r="3113">
          <cell r="A3113" t="str">
            <v>ORD_002411</v>
          </cell>
        </row>
        <row r="3114">
          <cell r="A3114" t="str">
            <v>ORD_001134</v>
          </cell>
        </row>
        <row r="3115">
          <cell r="A3115" t="str">
            <v>ORD_000281</v>
          </cell>
        </row>
        <row r="3116">
          <cell r="A3116" t="str">
            <v>ORD_001084</v>
          </cell>
        </row>
        <row r="3117">
          <cell r="A3117" t="str">
            <v>ORD_004620</v>
          </cell>
        </row>
        <row r="3118">
          <cell r="A3118" t="str">
            <v>ORD_002224</v>
          </cell>
        </row>
        <row r="3119">
          <cell r="A3119" t="str">
            <v>ORD_001053</v>
          </cell>
        </row>
        <row r="3120">
          <cell r="A3120" t="str">
            <v>ORD_001938</v>
          </cell>
        </row>
        <row r="3121">
          <cell r="A3121" t="str">
            <v>ORD_003549</v>
          </cell>
        </row>
        <row r="3122">
          <cell r="A3122" t="str">
            <v>ORD_003933</v>
          </cell>
        </row>
        <row r="3123">
          <cell r="A3123" t="str">
            <v>ORD_004999</v>
          </cell>
        </row>
        <row r="3124">
          <cell r="A3124" t="str">
            <v>ORD_000385</v>
          </cell>
        </row>
        <row r="3125">
          <cell r="A3125" t="str">
            <v>ORD_004278</v>
          </cell>
        </row>
        <row r="3126">
          <cell r="A3126" t="str">
            <v>ORD_001971</v>
          </cell>
        </row>
        <row r="3127">
          <cell r="A3127" t="str">
            <v>ORD_001062</v>
          </cell>
        </row>
        <row r="3128">
          <cell r="A3128" t="str">
            <v>ORD_002995</v>
          </cell>
        </row>
        <row r="3129">
          <cell r="A3129" t="str">
            <v>ORD_000116</v>
          </cell>
        </row>
        <row r="3130">
          <cell r="A3130" t="str">
            <v>ORD_002275</v>
          </cell>
        </row>
        <row r="3131">
          <cell r="A3131" t="str">
            <v>ORD_001988</v>
          </cell>
        </row>
        <row r="3132">
          <cell r="A3132" t="str">
            <v>ORD_003132</v>
          </cell>
        </row>
        <row r="3133">
          <cell r="A3133" t="str">
            <v>ORD_001174</v>
          </cell>
        </row>
        <row r="3134">
          <cell r="A3134" t="str">
            <v>ORD_004120</v>
          </cell>
        </row>
        <row r="3135">
          <cell r="A3135" t="str">
            <v>ORD_000765</v>
          </cell>
        </row>
        <row r="3136">
          <cell r="A3136" t="str">
            <v>ORD_003541</v>
          </cell>
        </row>
        <row r="3137">
          <cell r="A3137" t="str">
            <v>ORD_001685</v>
          </cell>
        </row>
        <row r="3138">
          <cell r="A3138" t="str">
            <v>ORD_003932</v>
          </cell>
        </row>
        <row r="3139">
          <cell r="A3139" t="str">
            <v>ORD_003582</v>
          </cell>
        </row>
        <row r="3140">
          <cell r="A3140" t="str">
            <v>ORD_000775</v>
          </cell>
        </row>
        <row r="3141">
          <cell r="A3141" t="str">
            <v>ORD_004183</v>
          </cell>
        </row>
        <row r="3142">
          <cell r="A3142" t="str">
            <v>ORD_000555</v>
          </cell>
        </row>
        <row r="3143">
          <cell r="A3143" t="str">
            <v>ORD_002091</v>
          </cell>
        </row>
        <row r="3144">
          <cell r="A3144" t="str">
            <v>ORD_002302</v>
          </cell>
        </row>
        <row r="3145">
          <cell r="A3145" t="str">
            <v>ORD_003955</v>
          </cell>
        </row>
        <row r="3146">
          <cell r="A3146" t="str">
            <v>ORD_003146</v>
          </cell>
        </row>
        <row r="3147">
          <cell r="A3147" t="str">
            <v>ORD_003615</v>
          </cell>
        </row>
        <row r="3148">
          <cell r="A3148" t="str">
            <v>ORD_003403</v>
          </cell>
        </row>
        <row r="3149">
          <cell r="A3149" t="str">
            <v>ORD_000526</v>
          </cell>
        </row>
        <row r="3150">
          <cell r="A3150" t="str">
            <v>ORD_001981</v>
          </cell>
        </row>
        <row r="3151">
          <cell r="A3151" t="str">
            <v>ORD_003105</v>
          </cell>
        </row>
        <row r="3152">
          <cell r="A3152" t="str">
            <v>ORD_003178</v>
          </cell>
        </row>
        <row r="3153">
          <cell r="A3153" t="str">
            <v>ORD_004297</v>
          </cell>
        </row>
        <row r="3154">
          <cell r="A3154" t="str">
            <v>ORD_001711</v>
          </cell>
        </row>
        <row r="3155">
          <cell r="A3155" t="str">
            <v>ORD_001941</v>
          </cell>
        </row>
        <row r="3156">
          <cell r="A3156" t="str">
            <v>ORD_001942</v>
          </cell>
        </row>
        <row r="3157">
          <cell r="A3157" t="str">
            <v>ORD_002707</v>
          </cell>
        </row>
        <row r="3158">
          <cell r="A3158" t="str">
            <v>ORD_000148</v>
          </cell>
        </row>
        <row r="3159">
          <cell r="A3159" t="str">
            <v>ORD_000025</v>
          </cell>
        </row>
        <row r="3160">
          <cell r="A3160" t="str">
            <v>ORD_002972</v>
          </cell>
        </row>
        <row r="3161">
          <cell r="A3161" t="str">
            <v>ORD_003579</v>
          </cell>
        </row>
        <row r="3162">
          <cell r="A3162" t="str">
            <v>ORD_002902</v>
          </cell>
        </row>
        <row r="3163">
          <cell r="A3163" t="str">
            <v>ORD_000936</v>
          </cell>
        </row>
        <row r="3164">
          <cell r="A3164" t="str">
            <v>ORD_003830</v>
          </cell>
        </row>
        <row r="3165">
          <cell r="A3165" t="str">
            <v>ORD_000453</v>
          </cell>
        </row>
        <row r="3166">
          <cell r="A3166" t="str">
            <v>ORD_003035</v>
          </cell>
        </row>
        <row r="3167">
          <cell r="A3167" t="str">
            <v>ORD_004103</v>
          </cell>
        </row>
        <row r="3168">
          <cell r="A3168" t="str">
            <v>ORD_002178</v>
          </cell>
        </row>
        <row r="3169">
          <cell r="A3169" t="str">
            <v>ORD_003848</v>
          </cell>
        </row>
        <row r="3170">
          <cell r="A3170" t="str">
            <v>ORD_001169</v>
          </cell>
        </row>
        <row r="3171">
          <cell r="A3171" t="str">
            <v>ORD_003664</v>
          </cell>
        </row>
        <row r="3172">
          <cell r="A3172" t="str">
            <v>ORD_000883</v>
          </cell>
        </row>
        <row r="3173">
          <cell r="A3173" t="str">
            <v>ORD_004854</v>
          </cell>
        </row>
        <row r="3174">
          <cell r="A3174" t="str">
            <v>ORD_004584</v>
          </cell>
        </row>
        <row r="3175">
          <cell r="A3175" t="str">
            <v>ORD_004035</v>
          </cell>
        </row>
        <row r="3176">
          <cell r="A3176" t="str">
            <v>ORD_002845</v>
          </cell>
        </row>
        <row r="3177">
          <cell r="A3177" t="str">
            <v>ORD_003370</v>
          </cell>
        </row>
        <row r="3178">
          <cell r="A3178" t="str">
            <v>ORD_003401</v>
          </cell>
        </row>
        <row r="3179">
          <cell r="A3179" t="str">
            <v>ORD_001791</v>
          </cell>
        </row>
        <row r="3180">
          <cell r="A3180" t="str">
            <v>ORD_003781</v>
          </cell>
        </row>
        <row r="3181">
          <cell r="A3181" t="str">
            <v>ORD_003813</v>
          </cell>
        </row>
        <row r="3182">
          <cell r="A3182" t="str">
            <v>ORD_002007</v>
          </cell>
        </row>
        <row r="3183">
          <cell r="A3183" t="str">
            <v>ORD_002183</v>
          </cell>
        </row>
        <row r="3184">
          <cell r="A3184" t="str">
            <v>ORD_004311</v>
          </cell>
        </row>
        <row r="3185">
          <cell r="A3185" t="str">
            <v>ORD_004325</v>
          </cell>
        </row>
        <row r="3186">
          <cell r="A3186" t="str">
            <v>ORD_001542</v>
          </cell>
        </row>
        <row r="3187">
          <cell r="A3187" t="str">
            <v>ORD_004487</v>
          </cell>
        </row>
        <row r="3188">
          <cell r="A3188" t="str">
            <v>ORD_001603</v>
          </cell>
        </row>
        <row r="3189">
          <cell r="A3189" t="str">
            <v>ORD_000431</v>
          </cell>
        </row>
        <row r="3190">
          <cell r="A3190" t="str">
            <v>ORD_000979</v>
          </cell>
        </row>
        <row r="3191">
          <cell r="A3191" t="str">
            <v>ORD_002029</v>
          </cell>
        </row>
        <row r="3192">
          <cell r="A3192" t="str">
            <v>ORD_003279</v>
          </cell>
        </row>
        <row r="3193">
          <cell r="A3193" t="str">
            <v>ORD_003248</v>
          </cell>
        </row>
        <row r="3194">
          <cell r="A3194" t="str">
            <v>ORD_003850</v>
          </cell>
        </row>
        <row r="3195">
          <cell r="A3195" t="str">
            <v>ORD_000133</v>
          </cell>
        </row>
        <row r="3196">
          <cell r="A3196" t="str">
            <v>ORD_003822</v>
          </cell>
        </row>
        <row r="3197">
          <cell r="A3197" t="str">
            <v>ORD_002680</v>
          </cell>
        </row>
        <row r="3198">
          <cell r="A3198" t="str">
            <v>ORD_004923</v>
          </cell>
        </row>
        <row r="3199">
          <cell r="A3199" t="str">
            <v>ORD_000238</v>
          </cell>
        </row>
        <row r="3200">
          <cell r="A3200" t="str">
            <v>ORD_004783</v>
          </cell>
        </row>
        <row r="3201">
          <cell r="A3201" t="str">
            <v>ORD_003682</v>
          </cell>
        </row>
        <row r="3202">
          <cell r="A3202" t="str">
            <v>ORD_001031</v>
          </cell>
        </row>
        <row r="3203">
          <cell r="A3203" t="str">
            <v>ORD_004663</v>
          </cell>
        </row>
        <row r="3204">
          <cell r="A3204" t="str">
            <v>ORD_000685</v>
          </cell>
        </row>
        <row r="3205">
          <cell r="A3205" t="str">
            <v>ORD_000421</v>
          </cell>
        </row>
        <row r="3206">
          <cell r="A3206" t="str">
            <v>ORD_002971</v>
          </cell>
        </row>
        <row r="3207">
          <cell r="A3207" t="str">
            <v>ORD_001192</v>
          </cell>
        </row>
        <row r="3208">
          <cell r="A3208" t="str">
            <v>ORD_001254</v>
          </cell>
        </row>
        <row r="3209">
          <cell r="A3209" t="str">
            <v>ORD_004391</v>
          </cell>
        </row>
        <row r="3210">
          <cell r="A3210" t="str">
            <v>ORD_002859</v>
          </cell>
        </row>
        <row r="3211">
          <cell r="A3211" t="str">
            <v>ORD_003957</v>
          </cell>
        </row>
        <row r="3212">
          <cell r="A3212" t="str">
            <v>ORD_002388</v>
          </cell>
        </row>
        <row r="3213">
          <cell r="A3213" t="str">
            <v>ORD_000305</v>
          </cell>
        </row>
        <row r="3214">
          <cell r="A3214" t="str">
            <v>ORD_001591</v>
          </cell>
        </row>
        <row r="3215">
          <cell r="A3215" t="str">
            <v>ORD_004826</v>
          </cell>
        </row>
        <row r="3216">
          <cell r="A3216" t="str">
            <v>ORD_002230</v>
          </cell>
        </row>
        <row r="3217">
          <cell r="A3217" t="str">
            <v>ORD_002510</v>
          </cell>
        </row>
        <row r="3218">
          <cell r="A3218" t="str">
            <v>ORD_001444</v>
          </cell>
        </row>
        <row r="3219">
          <cell r="A3219" t="str">
            <v>ORD_002109</v>
          </cell>
        </row>
        <row r="3220">
          <cell r="A3220" t="str">
            <v>ORD_001145</v>
          </cell>
        </row>
        <row r="3221">
          <cell r="A3221" t="str">
            <v>ORD_003079</v>
          </cell>
        </row>
        <row r="3222">
          <cell r="A3222" t="str">
            <v>ORD_004790</v>
          </cell>
        </row>
        <row r="3223">
          <cell r="A3223" t="str">
            <v>ORD_003224</v>
          </cell>
        </row>
        <row r="3224">
          <cell r="A3224" t="str">
            <v>ORD_003377</v>
          </cell>
        </row>
        <row r="3225">
          <cell r="A3225" t="str">
            <v>ORD_002691</v>
          </cell>
        </row>
        <row r="3226">
          <cell r="A3226" t="str">
            <v>ORD_003312</v>
          </cell>
        </row>
        <row r="3227">
          <cell r="A3227" t="str">
            <v>ORD_004402</v>
          </cell>
        </row>
        <row r="3228">
          <cell r="A3228" t="str">
            <v>ORD_001976</v>
          </cell>
        </row>
        <row r="3229">
          <cell r="A3229" t="str">
            <v>ORD_004333</v>
          </cell>
        </row>
        <row r="3230">
          <cell r="A3230" t="str">
            <v>ORD_003152</v>
          </cell>
        </row>
        <row r="3231">
          <cell r="A3231" t="str">
            <v>ORD_002762</v>
          </cell>
        </row>
        <row r="3232">
          <cell r="A3232" t="str">
            <v>ORD_004268</v>
          </cell>
        </row>
        <row r="3233">
          <cell r="A3233" t="str">
            <v>ORD_000957</v>
          </cell>
        </row>
        <row r="3234">
          <cell r="A3234" t="str">
            <v>ORD_000843</v>
          </cell>
        </row>
        <row r="3235">
          <cell r="A3235" t="str">
            <v>ORD_000740</v>
          </cell>
        </row>
        <row r="3236">
          <cell r="A3236" t="str">
            <v>ORD_001282</v>
          </cell>
        </row>
        <row r="3237">
          <cell r="A3237" t="str">
            <v>ORD_002107</v>
          </cell>
        </row>
        <row r="3238">
          <cell r="A3238" t="str">
            <v>ORD_003522</v>
          </cell>
        </row>
        <row r="3239">
          <cell r="A3239" t="str">
            <v>ORD_004123</v>
          </cell>
        </row>
        <row r="3240">
          <cell r="A3240" t="str">
            <v>ORD_001593</v>
          </cell>
        </row>
        <row r="3241">
          <cell r="A3241" t="str">
            <v>ORD_002500</v>
          </cell>
        </row>
        <row r="3242">
          <cell r="A3242" t="str">
            <v>ORD_004024</v>
          </cell>
        </row>
        <row r="3243">
          <cell r="A3243" t="str">
            <v>ORD_002781</v>
          </cell>
        </row>
        <row r="3244">
          <cell r="A3244" t="str">
            <v>ORD_001289</v>
          </cell>
        </row>
        <row r="3245">
          <cell r="A3245" t="str">
            <v>ORD_004773</v>
          </cell>
        </row>
        <row r="3246">
          <cell r="A3246" t="str">
            <v>ORD_001162</v>
          </cell>
        </row>
        <row r="3247">
          <cell r="A3247" t="str">
            <v>ORD_002924</v>
          </cell>
        </row>
        <row r="3248">
          <cell r="A3248" t="str">
            <v>ORD_004485</v>
          </cell>
        </row>
        <row r="3249">
          <cell r="A3249" t="str">
            <v>ORD_003524</v>
          </cell>
        </row>
        <row r="3250">
          <cell r="A3250" t="str">
            <v>ORD_000074</v>
          </cell>
        </row>
        <row r="3251">
          <cell r="A3251" t="str">
            <v>ORD_000639</v>
          </cell>
        </row>
        <row r="3252">
          <cell r="A3252" t="str">
            <v>ORD_000306</v>
          </cell>
        </row>
        <row r="3253">
          <cell r="A3253" t="str">
            <v>ORD_004214</v>
          </cell>
        </row>
        <row r="3254">
          <cell r="A3254" t="str">
            <v>ORD_001960</v>
          </cell>
        </row>
        <row r="3255">
          <cell r="A3255" t="str">
            <v>ORD_003060</v>
          </cell>
        </row>
        <row r="3256">
          <cell r="A3256" t="str">
            <v>ORD_004433</v>
          </cell>
        </row>
        <row r="3257">
          <cell r="A3257" t="str">
            <v>ORD_002854</v>
          </cell>
        </row>
        <row r="3258">
          <cell r="A3258" t="str">
            <v>ORD_003673</v>
          </cell>
        </row>
        <row r="3259">
          <cell r="A3259" t="str">
            <v>ORD_000954</v>
          </cell>
        </row>
        <row r="3260">
          <cell r="A3260" t="str">
            <v>ORD_002180</v>
          </cell>
        </row>
        <row r="3261">
          <cell r="A3261" t="str">
            <v>ORD_000394</v>
          </cell>
        </row>
        <row r="3262">
          <cell r="A3262" t="str">
            <v>ORD_001424</v>
          </cell>
        </row>
        <row r="3263">
          <cell r="A3263" t="str">
            <v>ORD_000423</v>
          </cell>
        </row>
        <row r="3264">
          <cell r="A3264" t="str">
            <v>ORD_000696</v>
          </cell>
        </row>
        <row r="3265">
          <cell r="A3265" t="str">
            <v>ORD_001642</v>
          </cell>
        </row>
        <row r="3266">
          <cell r="A3266" t="str">
            <v>ORD_003059</v>
          </cell>
        </row>
        <row r="3267">
          <cell r="A3267" t="str">
            <v>ORD_003416</v>
          </cell>
        </row>
        <row r="3268">
          <cell r="A3268" t="str">
            <v>ORD_002546</v>
          </cell>
        </row>
        <row r="3269">
          <cell r="A3269" t="str">
            <v>ORD_004456</v>
          </cell>
        </row>
        <row r="3270">
          <cell r="A3270" t="str">
            <v>ORD_002836</v>
          </cell>
        </row>
        <row r="3271">
          <cell r="A3271" t="str">
            <v>ORD_000624</v>
          </cell>
        </row>
        <row r="3272">
          <cell r="A3272" t="str">
            <v>ORD_004914</v>
          </cell>
        </row>
        <row r="3273">
          <cell r="A3273" t="str">
            <v>ORD_004121</v>
          </cell>
        </row>
        <row r="3274">
          <cell r="A3274" t="str">
            <v>ORD_002223</v>
          </cell>
        </row>
        <row r="3275">
          <cell r="A3275" t="str">
            <v>ORD_001081</v>
          </cell>
        </row>
        <row r="3276">
          <cell r="A3276" t="str">
            <v>ORD_003389</v>
          </cell>
        </row>
        <row r="3277">
          <cell r="A3277" t="str">
            <v>ORD_000154</v>
          </cell>
        </row>
        <row r="3278">
          <cell r="A3278" t="str">
            <v>ORD_002288</v>
          </cell>
        </row>
        <row r="3279">
          <cell r="A3279" t="str">
            <v>ORD_000536</v>
          </cell>
        </row>
        <row r="3280">
          <cell r="A3280" t="str">
            <v>ORD_000430</v>
          </cell>
        </row>
        <row r="3281">
          <cell r="A3281" t="str">
            <v>ORD_003064</v>
          </cell>
        </row>
        <row r="3282">
          <cell r="A3282" t="str">
            <v>ORD_003045</v>
          </cell>
        </row>
        <row r="3283">
          <cell r="A3283" t="str">
            <v>ORD_003310</v>
          </cell>
        </row>
        <row r="3284">
          <cell r="A3284" t="str">
            <v>ORD_004076</v>
          </cell>
        </row>
        <row r="3285">
          <cell r="A3285" t="str">
            <v>ORD_002944</v>
          </cell>
        </row>
        <row r="3286">
          <cell r="A3286" t="str">
            <v>ORD_001556</v>
          </cell>
        </row>
        <row r="3287">
          <cell r="A3287" t="str">
            <v>ORD_001881</v>
          </cell>
        </row>
        <row r="3288">
          <cell r="A3288" t="str">
            <v>ORD_004948</v>
          </cell>
        </row>
        <row r="3289">
          <cell r="A3289" t="str">
            <v>ORD_000152</v>
          </cell>
        </row>
        <row r="3290">
          <cell r="A3290" t="str">
            <v>ORD_000837</v>
          </cell>
        </row>
        <row r="3291">
          <cell r="A3291" t="str">
            <v>ORD_001700</v>
          </cell>
        </row>
        <row r="3292">
          <cell r="A3292" t="str">
            <v>ORD_001300</v>
          </cell>
        </row>
        <row r="3293">
          <cell r="A3293" t="str">
            <v>ORD_003672</v>
          </cell>
        </row>
        <row r="3294">
          <cell r="A3294" t="str">
            <v>ORD_003895</v>
          </cell>
        </row>
        <row r="3295">
          <cell r="A3295" t="str">
            <v>ORD_000402</v>
          </cell>
        </row>
        <row r="3296">
          <cell r="A3296" t="str">
            <v>ORD_001798</v>
          </cell>
        </row>
        <row r="3297">
          <cell r="A3297" t="str">
            <v>ORD_001283</v>
          </cell>
        </row>
        <row r="3298">
          <cell r="A3298" t="str">
            <v>ORD_003838</v>
          </cell>
        </row>
        <row r="3299">
          <cell r="A3299" t="str">
            <v>ORD_004674</v>
          </cell>
        </row>
        <row r="3300">
          <cell r="A3300" t="str">
            <v>ORD_003612</v>
          </cell>
        </row>
        <row r="3301">
          <cell r="A3301" t="str">
            <v>ORD_001743</v>
          </cell>
        </row>
        <row r="3302">
          <cell r="A3302" t="str">
            <v>ORD_001575</v>
          </cell>
        </row>
        <row r="3303">
          <cell r="A3303" t="str">
            <v>ORD_001423</v>
          </cell>
        </row>
        <row r="3304">
          <cell r="A3304" t="str">
            <v>ORD_001940</v>
          </cell>
        </row>
        <row r="3305">
          <cell r="A3305" t="str">
            <v>ORD_003185</v>
          </cell>
        </row>
        <row r="3306">
          <cell r="A3306" t="str">
            <v>ORD_002798</v>
          </cell>
        </row>
        <row r="3307">
          <cell r="A3307" t="str">
            <v>ORD_004236</v>
          </cell>
        </row>
        <row r="3308">
          <cell r="A3308" t="str">
            <v>ORD_004710</v>
          </cell>
        </row>
        <row r="3309">
          <cell r="A3309" t="str">
            <v>ORD_001827</v>
          </cell>
        </row>
        <row r="3310">
          <cell r="A3310" t="str">
            <v>ORD_004374</v>
          </cell>
        </row>
        <row r="3311">
          <cell r="A3311" t="str">
            <v>ORD_004607</v>
          </cell>
        </row>
        <row r="3312">
          <cell r="A3312" t="str">
            <v>ORD_000280</v>
          </cell>
        </row>
        <row r="3313">
          <cell r="A3313" t="str">
            <v>ORD_000283</v>
          </cell>
        </row>
        <row r="3314">
          <cell r="A3314" t="str">
            <v>ORD_004131</v>
          </cell>
        </row>
        <row r="3315">
          <cell r="A3315" t="str">
            <v>ORD_001233</v>
          </cell>
        </row>
        <row r="3316">
          <cell r="A3316" t="str">
            <v>ORD_001114</v>
          </cell>
        </row>
        <row r="3317">
          <cell r="A3317" t="str">
            <v>ORD_001189</v>
          </cell>
        </row>
        <row r="3318">
          <cell r="A3318" t="str">
            <v>ORD_000034</v>
          </cell>
        </row>
        <row r="3319">
          <cell r="A3319" t="str">
            <v>ORD_002132</v>
          </cell>
        </row>
        <row r="3320">
          <cell r="A3320" t="str">
            <v>ORD_000015</v>
          </cell>
        </row>
        <row r="3321">
          <cell r="A3321" t="str">
            <v>ORD_002200</v>
          </cell>
        </row>
        <row r="3322">
          <cell r="A3322" t="str">
            <v>ORD_004862</v>
          </cell>
        </row>
        <row r="3323">
          <cell r="A3323" t="str">
            <v>ORD_003542</v>
          </cell>
        </row>
        <row r="3324">
          <cell r="A3324" t="str">
            <v>ORD_001467</v>
          </cell>
        </row>
        <row r="3325">
          <cell r="A3325" t="str">
            <v>ORD_004250</v>
          </cell>
        </row>
        <row r="3326">
          <cell r="A3326" t="str">
            <v>ORD_003027</v>
          </cell>
        </row>
        <row r="3327">
          <cell r="A3327" t="str">
            <v>ORD_000882</v>
          </cell>
        </row>
        <row r="3328">
          <cell r="A3328" t="str">
            <v>ORD_001019</v>
          </cell>
        </row>
        <row r="3329">
          <cell r="A3329" t="str">
            <v>ORD_002835</v>
          </cell>
        </row>
        <row r="3330">
          <cell r="A3330" t="str">
            <v>ORD_000964</v>
          </cell>
        </row>
        <row r="3331">
          <cell r="A3331" t="str">
            <v>ORD_004545</v>
          </cell>
        </row>
        <row r="3332">
          <cell r="A3332" t="str">
            <v>ORD_004922</v>
          </cell>
        </row>
        <row r="3333">
          <cell r="A3333" t="str">
            <v>ORD_004201</v>
          </cell>
        </row>
        <row r="3334">
          <cell r="A3334" t="str">
            <v>ORD_002059</v>
          </cell>
        </row>
        <row r="3335">
          <cell r="A3335" t="str">
            <v>ORD_004037</v>
          </cell>
        </row>
        <row r="3336">
          <cell r="A3336" t="str">
            <v>ORD_001845</v>
          </cell>
        </row>
        <row r="3337">
          <cell r="A3337" t="str">
            <v>ORD_004007</v>
          </cell>
        </row>
        <row r="3338">
          <cell r="A3338" t="str">
            <v>ORD_004653</v>
          </cell>
        </row>
        <row r="3339">
          <cell r="A3339" t="str">
            <v>ORD_001251</v>
          </cell>
        </row>
        <row r="3340">
          <cell r="A3340" t="str">
            <v>ORD_001215</v>
          </cell>
        </row>
        <row r="3341">
          <cell r="A3341" t="str">
            <v>ORD_003984</v>
          </cell>
        </row>
        <row r="3342">
          <cell r="A3342" t="str">
            <v>ORD_003878</v>
          </cell>
        </row>
        <row r="3343">
          <cell r="A3343" t="str">
            <v>ORD_000776</v>
          </cell>
        </row>
        <row r="3344">
          <cell r="A3344" t="str">
            <v>ORD_004090</v>
          </cell>
        </row>
        <row r="3345">
          <cell r="A3345" t="str">
            <v>ORD_000414</v>
          </cell>
        </row>
        <row r="3346">
          <cell r="A3346" t="str">
            <v>ORD_002298</v>
          </cell>
        </row>
        <row r="3347">
          <cell r="A3347" t="str">
            <v>ORD_000424</v>
          </cell>
        </row>
        <row r="3348">
          <cell r="A3348" t="str">
            <v>ORD_002219</v>
          </cell>
        </row>
        <row r="3349">
          <cell r="A3349" t="str">
            <v>ORD_003496</v>
          </cell>
        </row>
        <row r="3350">
          <cell r="A3350" t="str">
            <v>ORD_002030</v>
          </cell>
        </row>
        <row r="3351">
          <cell r="A3351" t="str">
            <v>ORD_003942</v>
          </cell>
        </row>
        <row r="3352">
          <cell r="A3352" t="str">
            <v>ORD_002495</v>
          </cell>
        </row>
        <row r="3353">
          <cell r="A3353" t="str">
            <v>ORD_002351</v>
          </cell>
        </row>
        <row r="3354">
          <cell r="A3354" t="str">
            <v>ORD_004232</v>
          </cell>
        </row>
        <row r="3355">
          <cell r="A3355" t="str">
            <v>ORD_001178</v>
          </cell>
        </row>
        <row r="3356">
          <cell r="A3356" t="str">
            <v>ORD_001886</v>
          </cell>
        </row>
        <row r="3357">
          <cell r="A3357" t="str">
            <v>ORD_000176</v>
          </cell>
        </row>
        <row r="3358">
          <cell r="A3358" t="str">
            <v>ORD_004395</v>
          </cell>
        </row>
        <row r="3359">
          <cell r="A3359" t="str">
            <v>ORD_000628</v>
          </cell>
        </row>
        <row r="3360">
          <cell r="A3360" t="str">
            <v>ORD_002950</v>
          </cell>
        </row>
        <row r="3361">
          <cell r="A3361" t="str">
            <v>ORD_004266</v>
          </cell>
        </row>
        <row r="3362">
          <cell r="A3362" t="str">
            <v>ORD_001049</v>
          </cell>
        </row>
        <row r="3363">
          <cell r="A3363" t="str">
            <v>ORD_003053</v>
          </cell>
        </row>
        <row r="3364">
          <cell r="A3364" t="str">
            <v>ORD_000172</v>
          </cell>
        </row>
        <row r="3365">
          <cell r="A3365" t="str">
            <v>ORD_001783</v>
          </cell>
        </row>
        <row r="3366">
          <cell r="A3366" t="str">
            <v>ORD_003360</v>
          </cell>
        </row>
        <row r="3367">
          <cell r="A3367" t="str">
            <v>ORD_001807</v>
          </cell>
        </row>
        <row r="3368">
          <cell r="A3368" t="str">
            <v>ORD_001117</v>
          </cell>
        </row>
        <row r="3369">
          <cell r="A3369" t="str">
            <v>ORD_003943</v>
          </cell>
        </row>
        <row r="3370">
          <cell r="A3370" t="str">
            <v>ORD_001269</v>
          </cell>
        </row>
        <row r="3371">
          <cell r="A3371" t="str">
            <v>ORD_002266</v>
          </cell>
        </row>
        <row r="3372">
          <cell r="A3372" t="str">
            <v>ORD_000224</v>
          </cell>
        </row>
        <row r="3373">
          <cell r="A3373" t="str">
            <v>ORD_001401</v>
          </cell>
        </row>
        <row r="3374">
          <cell r="A3374" t="str">
            <v>ORD_003499</v>
          </cell>
        </row>
        <row r="3375">
          <cell r="A3375" t="str">
            <v>ORD_003525</v>
          </cell>
        </row>
        <row r="3376">
          <cell r="A3376" t="str">
            <v>ORD_004074</v>
          </cell>
        </row>
        <row r="3377">
          <cell r="A3377" t="str">
            <v>ORD_002067</v>
          </cell>
        </row>
        <row r="3378">
          <cell r="A3378" t="str">
            <v>ORD_004622</v>
          </cell>
        </row>
        <row r="3379">
          <cell r="A3379" t="str">
            <v>ORD_004621</v>
          </cell>
        </row>
        <row r="3380">
          <cell r="A3380" t="str">
            <v>ORD_001956</v>
          </cell>
        </row>
        <row r="3381">
          <cell r="A3381" t="str">
            <v>ORD_000975</v>
          </cell>
        </row>
        <row r="3382">
          <cell r="A3382" t="str">
            <v>ORD_002283</v>
          </cell>
        </row>
        <row r="3383">
          <cell r="A3383" t="str">
            <v>ORD_003000</v>
          </cell>
        </row>
        <row r="3384">
          <cell r="A3384" t="str">
            <v>ORD_004011</v>
          </cell>
        </row>
        <row r="3385">
          <cell r="A3385" t="str">
            <v>ORD_003249</v>
          </cell>
        </row>
        <row r="3386">
          <cell r="A3386" t="str">
            <v>ORD_002623</v>
          </cell>
        </row>
        <row r="3387">
          <cell r="A3387" t="str">
            <v>ORD_000859</v>
          </cell>
        </row>
        <row r="3388">
          <cell r="A3388" t="str">
            <v>ORD_000023</v>
          </cell>
        </row>
        <row r="3389">
          <cell r="A3389" t="str">
            <v>ORD_003605</v>
          </cell>
        </row>
        <row r="3390">
          <cell r="A3390" t="str">
            <v>ORD_002636</v>
          </cell>
        </row>
        <row r="3391">
          <cell r="A3391" t="str">
            <v>ORD_002166</v>
          </cell>
        </row>
        <row r="3392">
          <cell r="A3392" t="str">
            <v>ORD_004976</v>
          </cell>
        </row>
        <row r="3393">
          <cell r="A3393" t="str">
            <v>ORD_001274</v>
          </cell>
        </row>
        <row r="3394">
          <cell r="A3394" t="str">
            <v>ORD_000057</v>
          </cell>
        </row>
        <row r="3395">
          <cell r="A3395" t="str">
            <v>ORD_002234</v>
          </cell>
        </row>
        <row r="3396">
          <cell r="A3396" t="str">
            <v>ORD_002402</v>
          </cell>
        </row>
        <row r="3397">
          <cell r="A3397" t="str">
            <v>ORD_003604</v>
          </cell>
        </row>
        <row r="3398">
          <cell r="A3398" t="str">
            <v>ORD_001891</v>
          </cell>
        </row>
        <row r="3399">
          <cell r="A3399" t="str">
            <v>ORD_003875</v>
          </cell>
        </row>
        <row r="3400">
          <cell r="A3400" t="str">
            <v>ORD_002842</v>
          </cell>
        </row>
        <row r="3401">
          <cell r="A3401" t="str">
            <v>ORD_003632</v>
          </cell>
        </row>
        <row r="3402">
          <cell r="A3402" t="str">
            <v>ORD_000494</v>
          </cell>
        </row>
        <row r="3403">
          <cell r="A3403" t="str">
            <v>ORD_002682</v>
          </cell>
        </row>
        <row r="3404">
          <cell r="A3404" t="str">
            <v>ORD_001617</v>
          </cell>
        </row>
        <row r="3405">
          <cell r="A3405" t="str">
            <v>ORD_000944</v>
          </cell>
        </row>
        <row r="3406">
          <cell r="A3406" t="str">
            <v>ORD_001609</v>
          </cell>
        </row>
        <row r="3407">
          <cell r="A3407" t="str">
            <v>ORD_000945</v>
          </cell>
        </row>
        <row r="3408">
          <cell r="A3408" t="str">
            <v>ORD_004636</v>
          </cell>
        </row>
        <row r="3409">
          <cell r="A3409" t="str">
            <v>ORD_002888</v>
          </cell>
        </row>
        <row r="3410">
          <cell r="A3410" t="str">
            <v>ORD_000635</v>
          </cell>
        </row>
        <row r="3411">
          <cell r="A3411" t="str">
            <v>ORD_003344</v>
          </cell>
        </row>
        <row r="3412">
          <cell r="A3412" t="str">
            <v>ORD_003015</v>
          </cell>
        </row>
        <row r="3413">
          <cell r="A3413" t="str">
            <v>ORD_002045</v>
          </cell>
        </row>
        <row r="3414">
          <cell r="A3414" t="str">
            <v>ORD_000697</v>
          </cell>
        </row>
        <row r="3415">
          <cell r="A3415" t="str">
            <v>ORD_000257</v>
          </cell>
        </row>
        <row r="3416">
          <cell r="A3416" t="str">
            <v>ORD_001177</v>
          </cell>
        </row>
        <row r="3417">
          <cell r="A3417" t="str">
            <v>ORD_000214</v>
          </cell>
        </row>
        <row r="3418">
          <cell r="A3418" t="str">
            <v>ORD_004731</v>
          </cell>
        </row>
        <row r="3419">
          <cell r="A3419" t="str">
            <v>ORD_001874</v>
          </cell>
        </row>
        <row r="3420">
          <cell r="A3420" t="str">
            <v>ORD_002667</v>
          </cell>
        </row>
        <row r="3421">
          <cell r="A3421" t="str">
            <v>ORD_002475</v>
          </cell>
        </row>
        <row r="3422">
          <cell r="A3422" t="str">
            <v>ORD_000104</v>
          </cell>
        </row>
        <row r="3423">
          <cell r="A3423" t="str">
            <v>ORD_001990</v>
          </cell>
        </row>
        <row r="3424">
          <cell r="A3424" t="str">
            <v>ORD_004624</v>
          </cell>
        </row>
        <row r="3425">
          <cell r="A3425" t="str">
            <v>ORD_001366</v>
          </cell>
        </row>
        <row r="3426">
          <cell r="A3426" t="str">
            <v>ORD_002371</v>
          </cell>
        </row>
        <row r="3427">
          <cell r="A3427" t="str">
            <v>ORD_002256</v>
          </cell>
        </row>
        <row r="3428">
          <cell r="A3428" t="str">
            <v>ORD_002987</v>
          </cell>
        </row>
        <row r="3429">
          <cell r="A3429" t="str">
            <v>ORD_001032</v>
          </cell>
        </row>
        <row r="3430">
          <cell r="A3430" t="str">
            <v>ORD_004586</v>
          </cell>
        </row>
        <row r="3431">
          <cell r="A3431" t="str">
            <v>ORD_001713</v>
          </cell>
        </row>
        <row r="3432">
          <cell r="A3432" t="str">
            <v>ORD_003284</v>
          </cell>
        </row>
        <row r="3433">
          <cell r="A3433" t="str">
            <v>ORD_001195</v>
          </cell>
        </row>
        <row r="3434">
          <cell r="A3434" t="str">
            <v>ORD_004234</v>
          </cell>
        </row>
        <row r="3435">
          <cell r="A3435" t="str">
            <v>ORD_004379</v>
          </cell>
        </row>
        <row r="3436">
          <cell r="A3436" t="str">
            <v>ORD_000733</v>
          </cell>
        </row>
        <row r="3437">
          <cell r="A3437" t="str">
            <v>ORD_001549</v>
          </cell>
        </row>
        <row r="3438">
          <cell r="A3438" t="str">
            <v>ORD_003127</v>
          </cell>
        </row>
        <row r="3439">
          <cell r="A3439" t="str">
            <v>ORD_000473</v>
          </cell>
        </row>
        <row r="3440">
          <cell r="A3440" t="str">
            <v>ORD_004730</v>
          </cell>
        </row>
        <row r="3441">
          <cell r="A3441" t="str">
            <v>ORD_000780</v>
          </cell>
        </row>
        <row r="3442">
          <cell r="A3442" t="str">
            <v>ORD_003094</v>
          </cell>
        </row>
        <row r="3443">
          <cell r="A3443" t="str">
            <v>ORD_002715</v>
          </cell>
        </row>
        <row r="3444">
          <cell r="A3444" t="str">
            <v>ORD_003019</v>
          </cell>
        </row>
        <row r="3445">
          <cell r="A3445" t="str">
            <v>ORD_002768</v>
          </cell>
        </row>
        <row r="3446">
          <cell r="A3446" t="str">
            <v>ORD_004101</v>
          </cell>
        </row>
        <row r="3447">
          <cell r="A3447" t="str">
            <v>ORD_002218</v>
          </cell>
        </row>
        <row r="3448">
          <cell r="A3448" t="str">
            <v>ORD_002648</v>
          </cell>
        </row>
        <row r="3449">
          <cell r="A3449" t="str">
            <v>ORD_004198</v>
          </cell>
        </row>
        <row r="3450">
          <cell r="A3450" t="str">
            <v>ORD_003877</v>
          </cell>
        </row>
        <row r="3451">
          <cell r="A3451" t="str">
            <v>ORD_001985</v>
          </cell>
        </row>
        <row r="3452">
          <cell r="A3452" t="str">
            <v>ORD_003489</v>
          </cell>
        </row>
        <row r="3453">
          <cell r="A3453" t="str">
            <v>ORD_003336</v>
          </cell>
        </row>
        <row r="3454">
          <cell r="A3454" t="str">
            <v>ORD_002829</v>
          </cell>
        </row>
        <row r="3455">
          <cell r="A3455" t="str">
            <v>ORD_001850</v>
          </cell>
        </row>
        <row r="3456">
          <cell r="A3456" t="str">
            <v>ORD_004249</v>
          </cell>
        </row>
        <row r="3457">
          <cell r="A3457" t="str">
            <v>ORD_002507</v>
          </cell>
        </row>
        <row r="3458">
          <cell r="A3458" t="str">
            <v>ORD_002917</v>
          </cell>
        </row>
        <row r="3459">
          <cell r="A3459" t="str">
            <v>ORD_004383</v>
          </cell>
        </row>
        <row r="3460">
          <cell r="A3460" t="str">
            <v>ORD_003023</v>
          </cell>
        </row>
        <row r="3461">
          <cell r="A3461" t="str">
            <v>ORD_004597</v>
          </cell>
        </row>
        <row r="3462">
          <cell r="A3462" t="str">
            <v>ORD_003739</v>
          </cell>
        </row>
        <row r="3463">
          <cell r="A3463" t="str">
            <v>ORD_004697</v>
          </cell>
        </row>
        <row r="3464">
          <cell r="A3464" t="str">
            <v>ORD_000684</v>
          </cell>
        </row>
        <row r="3465">
          <cell r="A3465" t="str">
            <v>ORD_002465</v>
          </cell>
        </row>
        <row r="3466">
          <cell r="A3466" t="str">
            <v>ORD_001752</v>
          </cell>
        </row>
        <row r="3467">
          <cell r="A3467" t="str">
            <v>ORD_003985</v>
          </cell>
        </row>
        <row r="3468">
          <cell r="A3468" t="str">
            <v>ORD_001010</v>
          </cell>
        </row>
        <row r="3469">
          <cell r="A3469" t="str">
            <v>ORD_003183</v>
          </cell>
        </row>
        <row r="3470">
          <cell r="A3470" t="str">
            <v>ORD_002861</v>
          </cell>
        </row>
        <row r="3471">
          <cell r="A3471" t="str">
            <v>ORD_003900</v>
          </cell>
        </row>
        <row r="3472">
          <cell r="A3472" t="str">
            <v>ORD_002036</v>
          </cell>
        </row>
        <row r="3473">
          <cell r="A3473" t="str">
            <v>ORD_001509</v>
          </cell>
        </row>
        <row r="3474">
          <cell r="A3474" t="str">
            <v>ORD_002121</v>
          </cell>
        </row>
        <row r="3475">
          <cell r="A3475" t="str">
            <v>ORD_004242</v>
          </cell>
        </row>
        <row r="3476">
          <cell r="A3476" t="str">
            <v>ORD_001180</v>
          </cell>
        </row>
        <row r="3477">
          <cell r="A3477" t="str">
            <v>ORD_003736</v>
          </cell>
        </row>
        <row r="3478">
          <cell r="A3478" t="str">
            <v>ORD_000071</v>
          </cell>
        </row>
        <row r="3479">
          <cell r="A3479" t="str">
            <v>ORD_002349</v>
          </cell>
        </row>
        <row r="3480">
          <cell r="A3480" t="str">
            <v>ORD_001193</v>
          </cell>
        </row>
        <row r="3481">
          <cell r="A3481" t="str">
            <v>ORD_004287</v>
          </cell>
        </row>
        <row r="3482">
          <cell r="A3482" t="str">
            <v>ORD_003769</v>
          </cell>
        </row>
        <row r="3483">
          <cell r="A3483" t="str">
            <v>ORD_001710</v>
          </cell>
        </row>
        <row r="3484">
          <cell r="A3484" t="str">
            <v>ORD_000558</v>
          </cell>
        </row>
        <row r="3485">
          <cell r="A3485" t="str">
            <v>ORD_001623</v>
          </cell>
        </row>
        <row r="3486">
          <cell r="A3486" t="str">
            <v>ORD_000717</v>
          </cell>
        </row>
        <row r="3487">
          <cell r="A3487" t="str">
            <v>ORD_001552</v>
          </cell>
        </row>
        <row r="3488">
          <cell r="A3488" t="str">
            <v>ORD_000426</v>
          </cell>
        </row>
        <row r="3489">
          <cell r="A3489" t="str">
            <v>ORD_003995</v>
          </cell>
        </row>
        <row r="3490">
          <cell r="A3490" t="str">
            <v>ORD_003070</v>
          </cell>
        </row>
        <row r="3491">
          <cell r="A3491" t="str">
            <v>ORD_000929</v>
          </cell>
        </row>
        <row r="3492">
          <cell r="A3492" t="str">
            <v>ORD_001984</v>
          </cell>
        </row>
        <row r="3493">
          <cell r="A3493" t="str">
            <v>ORD_004858</v>
          </cell>
        </row>
        <row r="3494">
          <cell r="A3494" t="str">
            <v>ORD_000878</v>
          </cell>
        </row>
        <row r="3495">
          <cell r="A3495" t="str">
            <v>ORD_002489</v>
          </cell>
        </row>
        <row r="3496">
          <cell r="A3496" t="str">
            <v>ORD_000452</v>
          </cell>
        </row>
        <row r="3497">
          <cell r="A3497" t="str">
            <v>ORD_001347</v>
          </cell>
        </row>
        <row r="3498">
          <cell r="A3498" t="str">
            <v>ORD_002359</v>
          </cell>
        </row>
        <row r="3499">
          <cell r="A3499" t="str">
            <v>ORD_002186</v>
          </cell>
        </row>
        <row r="3500">
          <cell r="A3500" t="str">
            <v>ORD_002840</v>
          </cell>
        </row>
        <row r="3501">
          <cell r="A3501" t="str">
            <v>ORD_000660</v>
          </cell>
        </row>
        <row r="3502">
          <cell r="A3502" t="str">
            <v>ORD_001879</v>
          </cell>
        </row>
        <row r="3503">
          <cell r="A3503" t="str">
            <v>ORD_001489</v>
          </cell>
        </row>
        <row r="3504">
          <cell r="A3504" t="str">
            <v>ORD_002985</v>
          </cell>
        </row>
        <row r="3505">
          <cell r="A3505" t="str">
            <v>ORD_000803</v>
          </cell>
        </row>
        <row r="3506">
          <cell r="A3506" t="str">
            <v>ORD_000209</v>
          </cell>
        </row>
        <row r="3507">
          <cell r="A3507" t="str">
            <v>ORD_001350</v>
          </cell>
        </row>
        <row r="3508">
          <cell r="A3508" t="str">
            <v>ORD_001502</v>
          </cell>
        </row>
        <row r="3509">
          <cell r="A3509" t="str">
            <v>ORD_003982</v>
          </cell>
        </row>
        <row r="3510">
          <cell r="A3510" t="str">
            <v>ORD_004497</v>
          </cell>
        </row>
        <row r="3511">
          <cell r="A3511" t="str">
            <v>ORD_004529</v>
          </cell>
        </row>
        <row r="3512">
          <cell r="A3512" t="str">
            <v>ORD_002827</v>
          </cell>
        </row>
        <row r="3513">
          <cell r="A3513" t="str">
            <v>ORD_003546</v>
          </cell>
        </row>
        <row r="3514">
          <cell r="A3514" t="str">
            <v>ORD_001200</v>
          </cell>
        </row>
        <row r="3515">
          <cell r="A3515" t="str">
            <v>ORD_001232</v>
          </cell>
        </row>
        <row r="3516">
          <cell r="A3516" t="str">
            <v>ORD_004436</v>
          </cell>
        </row>
        <row r="3517">
          <cell r="A3517" t="str">
            <v>ORD_004593</v>
          </cell>
        </row>
        <row r="3518">
          <cell r="A3518" t="str">
            <v>ORD_000967</v>
          </cell>
        </row>
        <row r="3519">
          <cell r="A3519" t="str">
            <v>ORD_002189</v>
          </cell>
        </row>
        <row r="3520">
          <cell r="A3520" t="str">
            <v>ORD_000070</v>
          </cell>
        </row>
        <row r="3521">
          <cell r="A3521" t="str">
            <v>ORD_004774</v>
          </cell>
        </row>
        <row r="3522">
          <cell r="A3522" t="str">
            <v>ORD_002174</v>
          </cell>
        </row>
        <row r="3523">
          <cell r="A3523" t="str">
            <v>ORD_001635</v>
          </cell>
        </row>
        <row r="3524">
          <cell r="A3524" t="str">
            <v>ORD_001633</v>
          </cell>
        </row>
        <row r="3525">
          <cell r="A3525" t="str">
            <v>ORD_000167</v>
          </cell>
        </row>
        <row r="3526">
          <cell r="A3526" t="str">
            <v>ORD_002865</v>
          </cell>
        </row>
        <row r="3527">
          <cell r="A3527" t="str">
            <v>ORD_004685</v>
          </cell>
        </row>
        <row r="3528">
          <cell r="A3528" t="str">
            <v>ORD_002543</v>
          </cell>
        </row>
        <row r="3529">
          <cell r="A3529" t="str">
            <v>ORD_001365</v>
          </cell>
        </row>
        <row r="3530">
          <cell r="A3530" t="str">
            <v>ORD_001163</v>
          </cell>
        </row>
        <row r="3531">
          <cell r="A3531" t="str">
            <v>ORD_000739</v>
          </cell>
        </row>
        <row r="3532">
          <cell r="A3532" t="str">
            <v>ORD_003725</v>
          </cell>
        </row>
        <row r="3533">
          <cell r="A3533" t="str">
            <v>ORD_003051</v>
          </cell>
        </row>
        <row r="3534">
          <cell r="A3534" t="str">
            <v>ORD_004189</v>
          </cell>
        </row>
        <row r="3535">
          <cell r="A3535" t="str">
            <v>ORD_003068</v>
          </cell>
        </row>
        <row r="3536">
          <cell r="A3536" t="str">
            <v>ORD_004434</v>
          </cell>
        </row>
        <row r="3537">
          <cell r="A3537" t="str">
            <v>ORD_004380</v>
          </cell>
        </row>
        <row r="3538">
          <cell r="A3538" t="str">
            <v>ORD_002269</v>
          </cell>
        </row>
        <row r="3539">
          <cell r="A3539" t="str">
            <v>ORD_002196</v>
          </cell>
        </row>
        <row r="3540">
          <cell r="A3540" t="str">
            <v>ORD_001512</v>
          </cell>
        </row>
        <row r="3541">
          <cell r="A3541" t="str">
            <v>ORD_002498</v>
          </cell>
        </row>
        <row r="3542">
          <cell r="A3542" t="str">
            <v>ORD_000288</v>
          </cell>
        </row>
        <row r="3543">
          <cell r="A3543" t="str">
            <v>ORD_002564</v>
          </cell>
        </row>
        <row r="3544">
          <cell r="A3544" t="str">
            <v>ORD_003912</v>
          </cell>
        </row>
        <row r="3545">
          <cell r="A3545" t="str">
            <v>ORD_003883</v>
          </cell>
        </row>
        <row r="3546">
          <cell r="A3546" t="str">
            <v>ORD_002013</v>
          </cell>
        </row>
        <row r="3547">
          <cell r="A3547" t="str">
            <v>ORD_001880</v>
          </cell>
        </row>
        <row r="3548">
          <cell r="A3548" t="str">
            <v>ORD_000500</v>
          </cell>
        </row>
        <row r="3549">
          <cell r="A3549" t="str">
            <v>ORD_000716</v>
          </cell>
        </row>
        <row r="3550">
          <cell r="A3550" t="str">
            <v>ORD_000509</v>
          </cell>
        </row>
        <row r="3551">
          <cell r="A3551" t="str">
            <v>ORD_004711</v>
          </cell>
        </row>
        <row r="3552">
          <cell r="A3552" t="str">
            <v>ORD_001521</v>
          </cell>
        </row>
        <row r="3553">
          <cell r="A3553" t="str">
            <v>ORD_002147</v>
          </cell>
        </row>
        <row r="3554">
          <cell r="A3554" t="str">
            <v>ORD_004062</v>
          </cell>
        </row>
        <row r="3555">
          <cell r="A3555" t="str">
            <v>ORD_004022</v>
          </cell>
        </row>
        <row r="3556">
          <cell r="A3556" t="str">
            <v>ORD_004441</v>
          </cell>
        </row>
        <row r="3557">
          <cell r="A3557" t="str">
            <v>ORD_004465</v>
          </cell>
        </row>
        <row r="3558">
          <cell r="A3558" t="str">
            <v>ORD_001302</v>
          </cell>
        </row>
        <row r="3559">
          <cell r="A3559" t="str">
            <v>ORD_000091</v>
          </cell>
        </row>
        <row r="3560">
          <cell r="A3560" t="str">
            <v>ORD_000105</v>
          </cell>
        </row>
        <row r="3561">
          <cell r="A3561" t="str">
            <v>ORD_001717</v>
          </cell>
        </row>
        <row r="3562">
          <cell r="A3562" t="str">
            <v>ORD_004273</v>
          </cell>
        </row>
        <row r="3563">
          <cell r="A3563" t="str">
            <v>ORD_002530</v>
          </cell>
        </row>
        <row r="3564">
          <cell r="A3564" t="str">
            <v>ORD_004879</v>
          </cell>
        </row>
        <row r="3565">
          <cell r="A3565" t="str">
            <v>ORD_001621</v>
          </cell>
        </row>
        <row r="3566">
          <cell r="A3566" t="str">
            <v>ORD_002823</v>
          </cell>
        </row>
        <row r="3567">
          <cell r="A3567" t="str">
            <v>ORD_000999</v>
          </cell>
        </row>
        <row r="3568">
          <cell r="A3568" t="str">
            <v>ORD_002185</v>
          </cell>
        </row>
        <row r="3569">
          <cell r="A3569" t="str">
            <v>ORD_003802</v>
          </cell>
        </row>
        <row r="3570">
          <cell r="A3570" t="str">
            <v>ORD_001138</v>
          </cell>
        </row>
        <row r="3571">
          <cell r="A3571" t="str">
            <v>ORD_003737</v>
          </cell>
        </row>
        <row r="3572">
          <cell r="A3572" t="str">
            <v>ORD_004652</v>
          </cell>
        </row>
        <row r="3573">
          <cell r="A3573" t="str">
            <v>ORD_003192</v>
          </cell>
        </row>
        <row r="3574">
          <cell r="A3574" t="str">
            <v>ORD_002656</v>
          </cell>
        </row>
        <row r="3575">
          <cell r="A3575" t="str">
            <v>ORD_000797</v>
          </cell>
        </row>
        <row r="3576">
          <cell r="A3576" t="str">
            <v>ORD_000518</v>
          </cell>
        </row>
        <row r="3577">
          <cell r="A3577" t="str">
            <v>ORD_004918</v>
          </cell>
        </row>
        <row r="3578">
          <cell r="A3578" t="str">
            <v>ORD_002746</v>
          </cell>
        </row>
        <row r="3579">
          <cell r="A3579" t="str">
            <v>ORD_001560</v>
          </cell>
        </row>
        <row r="3580">
          <cell r="A3580" t="str">
            <v>ORD_001703</v>
          </cell>
        </row>
        <row r="3581">
          <cell r="A3581" t="str">
            <v>ORD_004091</v>
          </cell>
        </row>
        <row r="3582">
          <cell r="A3582" t="str">
            <v>ORD_004230</v>
          </cell>
        </row>
        <row r="3583">
          <cell r="A3583" t="str">
            <v>ORD_004192</v>
          </cell>
        </row>
        <row r="3584">
          <cell r="A3584" t="str">
            <v>ORD_004694</v>
          </cell>
        </row>
        <row r="3585">
          <cell r="A3585" t="str">
            <v>ORD_000001</v>
          </cell>
        </row>
        <row r="3586">
          <cell r="A3586" t="str">
            <v>ORD_003286</v>
          </cell>
        </row>
        <row r="3587">
          <cell r="A3587" t="str">
            <v>ORD_003333</v>
          </cell>
        </row>
        <row r="3588">
          <cell r="A3588" t="str">
            <v>ORD_002112</v>
          </cell>
        </row>
        <row r="3589">
          <cell r="A3589" t="str">
            <v>ORD_001577</v>
          </cell>
        </row>
        <row r="3590">
          <cell r="A3590" t="str">
            <v>ORD_002862</v>
          </cell>
        </row>
        <row r="3591">
          <cell r="A3591" t="str">
            <v>ORD_000114</v>
          </cell>
        </row>
        <row r="3592">
          <cell r="A3592" t="str">
            <v>ORD_002797</v>
          </cell>
        </row>
        <row r="3593">
          <cell r="A3593" t="str">
            <v>ORD_002651</v>
          </cell>
        </row>
        <row r="3594">
          <cell r="A3594" t="str">
            <v>ORD_002487</v>
          </cell>
        </row>
        <row r="3595">
          <cell r="A3595" t="str">
            <v>ORD_001782</v>
          </cell>
        </row>
        <row r="3596">
          <cell r="A3596" t="str">
            <v>ORD_000212</v>
          </cell>
        </row>
        <row r="3597">
          <cell r="A3597" t="str">
            <v>ORD_002852</v>
          </cell>
        </row>
        <row r="3598">
          <cell r="A3598" t="str">
            <v>ORD_003695</v>
          </cell>
        </row>
        <row r="3599">
          <cell r="A3599" t="str">
            <v>ORD_002833</v>
          </cell>
        </row>
        <row r="3600">
          <cell r="A3600" t="str">
            <v>ORD_000612</v>
          </cell>
        </row>
        <row r="3601">
          <cell r="A3601" t="str">
            <v>ORD_002785</v>
          </cell>
        </row>
        <row r="3602">
          <cell r="A3602" t="str">
            <v>ORD_003434</v>
          </cell>
        </row>
        <row r="3603">
          <cell r="A3603" t="str">
            <v>ORD_004579</v>
          </cell>
        </row>
        <row r="3604">
          <cell r="A3604" t="str">
            <v>ORD_003254</v>
          </cell>
        </row>
        <row r="3605">
          <cell r="A3605" t="str">
            <v>ORD_003710</v>
          </cell>
        </row>
        <row r="3606">
          <cell r="A3606" t="str">
            <v>ORD_002407</v>
          </cell>
        </row>
        <row r="3607">
          <cell r="A3607" t="str">
            <v>ORD_001781</v>
          </cell>
        </row>
        <row r="3608">
          <cell r="A3608" t="str">
            <v>ORD_002868</v>
          </cell>
        </row>
        <row r="3609">
          <cell r="A3609" t="str">
            <v>ORD_000191</v>
          </cell>
        </row>
        <row r="3610">
          <cell r="A3610" t="str">
            <v>ORD_004716</v>
          </cell>
        </row>
        <row r="3611">
          <cell r="A3611" t="str">
            <v>ORD_002556</v>
          </cell>
        </row>
        <row r="3612">
          <cell r="A3612" t="str">
            <v>ORD_000141</v>
          </cell>
        </row>
        <row r="3613">
          <cell r="A3613" t="str">
            <v>ORD_000887</v>
          </cell>
        </row>
        <row r="3614">
          <cell r="A3614" t="str">
            <v>ORD_003123</v>
          </cell>
        </row>
        <row r="3615">
          <cell r="A3615" t="str">
            <v>ORD_002184</v>
          </cell>
        </row>
        <row r="3616">
          <cell r="A3616" t="str">
            <v>ORD_003553</v>
          </cell>
        </row>
        <row r="3617">
          <cell r="A3617" t="str">
            <v>ORD_001859</v>
          </cell>
        </row>
        <row r="3618">
          <cell r="A3618" t="str">
            <v>ORD_001987</v>
          </cell>
        </row>
        <row r="3619">
          <cell r="A3619" t="str">
            <v>ORD_002304</v>
          </cell>
        </row>
        <row r="3620">
          <cell r="A3620" t="str">
            <v>ORD_003436</v>
          </cell>
        </row>
        <row r="3621">
          <cell r="A3621" t="str">
            <v>ORD_002676</v>
          </cell>
        </row>
        <row r="3622">
          <cell r="A3622" t="str">
            <v>ORD_001636</v>
          </cell>
        </row>
        <row r="3623">
          <cell r="A3623" t="str">
            <v>ORD_001768</v>
          </cell>
        </row>
        <row r="3624">
          <cell r="A3624" t="str">
            <v>ORD_004642</v>
          </cell>
        </row>
        <row r="3625">
          <cell r="A3625" t="str">
            <v>ORD_000444</v>
          </cell>
        </row>
        <row r="3626">
          <cell r="A3626" t="str">
            <v>ORD_004617</v>
          </cell>
        </row>
        <row r="3627">
          <cell r="A3627" t="str">
            <v>ORD_003219</v>
          </cell>
        </row>
        <row r="3628">
          <cell r="A3628" t="str">
            <v>ORD_003810</v>
          </cell>
        </row>
        <row r="3629">
          <cell r="A3629" t="str">
            <v>ORD_004276</v>
          </cell>
        </row>
        <row r="3630">
          <cell r="A3630" t="str">
            <v>ORD_000327</v>
          </cell>
        </row>
        <row r="3631">
          <cell r="A3631" t="str">
            <v>ORD_002247</v>
          </cell>
        </row>
        <row r="3632">
          <cell r="A3632" t="str">
            <v>ORD_001067</v>
          </cell>
        </row>
        <row r="3633">
          <cell r="A3633" t="str">
            <v>ORD_002157</v>
          </cell>
        </row>
        <row r="3634">
          <cell r="A3634" t="str">
            <v>ORD_002214</v>
          </cell>
        </row>
        <row r="3635">
          <cell r="A3635" t="str">
            <v>ORD_002316</v>
          </cell>
        </row>
        <row r="3636">
          <cell r="A3636" t="str">
            <v>ORD_004104</v>
          </cell>
        </row>
        <row r="3637">
          <cell r="A3637" t="str">
            <v>ORD_001715</v>
          </cell>
        </row>
        <row r="3638">
          <cell r="A3638" t="str">
            <v>ORD_001241</v>
          </cell>
        </row>
        <row r="3639">
          <cell r="A3639" t="str">
            <v>ORD_000989</v>
          </cell>
        </row>
        <row r="3640">
          <cell r="A3640" t="str">
            <v>ORD_003590</v>
          </cell>
        </row>
        <row r="3641">
          <cell r="A3641" t="str">
            <v>ORD_004106</v>
          </cell>
        </row>
        <row r="3642">
          <cell r="A3642" t="str">
            <v>ORD_001382</v>
          </cell>
        </row>
        <row r="3643">
          <cell r="A3643" t="str">
            <v>ORD_002589</v>
          </cell>
        </row>
        <row r="3644">
          <cell r="A3644" t="str">
            <v>ORD_004100</v>
          </cell>
        </row>
        <row r="3645">
          <cell r="A3645" t="str">
            <v>ORD_002270</v>
          </cell>
        </row>
        <row r="3646">
          <cell r="A3646" t="str">
            <v>ORD_004171</v>
          </cell>
        </row>
        <row r="3647">
          <cell r="A3647" t="str">
            <v>ORD_000102</v>
          </cell>
        </row>
        <row r="3648">
          <cell r="A3648" t="str">
            <v>ORD_003270</v>
          </cell>
        </row>
        <row r="3649">
          <cell r="A3649" t="str">
            <v>ORD_003644</v>
          </cell>
        </row>
        <row r="3650">
          <cell r="A3650" t="str">
            <v>ORD_002449</v>
          </cell>
        </row>
        <row r="3651">
          <cell r="A3651" t="str">
            <v>ORD_000269</v>
          </cell>
        </row>
        <row r="3652">
          <cell r="A3652" t="str">
            <v>ORD_004525</v>
          </cell>
        </row>
        <row r="3653">
          <cell r="A3653" t="str">
            <v>ORD_000918</v>
          </cell>
        </row>
        <row r="3654">
          <cell r="A3654" t="str">
            <v>ORD_002697</v>
          </cell>
        </row>
        <row r="3655">
          <cell r="A3655" t="str">
            <v>ORD_003792</v>
          </cell>
        </row>
        <row r="3656">
          <cell r="A3656" t="str">
            <v>ORD_004512</v>
          </cell>
        </row>
        <row r="3657">
          <cell r="A3657" t="str">
            <v>ORD_004714</v>
          </cell>
        </row>
        <row r="3658">
          <cell r="A3658" t="str">
            <v>ORD_001722</v>
          </cell>
        </row>
        <row r="3659">
          <cell r="A3659" t="str">
            <v>ORD_000028</v>
          </cell>
        </row>
        <row r="3660">
          <cell r="A3660" t="str">
            <v>ORD_001492</v>
          </cell>
        </row>
        <row r="3661">
          <cell r="A3661" t="str">
            <v>ORD_004587</v>
          </cell>
        </row>
        <row r="3662">
          <cell r="A3662" t="str">
            <v>ORD_001296</v>
          </cell>
        </row>
        <row r="3663">
          <cell r="A3663" t="str">
            <v>ORD_001461</v>
          </cell>
        </row>
        <row r="3664">
          <cell r="A3664" t="str">
            <v>ORD_002856</v>
          </cell>
        </row>
        <row r="3665">
          <cell r="A3665" t="str">
            <v>ORD_002231</v>
          </cell>
        </row>
        <row r="3666">
          <cell r="A3666" t="str">
            <v>ORD_000356</v>
          </cell>
        </row>
        <row r="3667">
          <cell r="A3667" t="str">
            <v>ORD_003223</v>
          </cell>
        </row>
        <row r="3668">
          <cell r="A3668" t="str">
            <v>ORD_003213</v>
          </cell>
        </row>
        <row r="3669">
          <cell r="A3669" t="str">
            <v>ORD_004006</v>
          </cell>
        </row>
        <row r="3670">
          <cell r="A3670" t="str">
            <v>ORD_000921</v>
          </cell>
        </row>
        <row r="3671">
          <cell r="A3671" t="str">
            <v>ORD_001899</v>
          </cell>
        </row>
        <row r="3672">
          <cell r="A3672" t="str">
            <v>ORD_001008</v>
          </cell>
        </row>
        <row r="3673">
          <cell r="A3673" t="str">
            <v>ORD_003450</v>
          </cell>
        </row>
        <row r="3674">
          <cell r="A3674" t="str">
            <v>ORD_004299</v>
          </cell>
        </row>
        <row r="3675">
          <cell r="A3675" t="str">
            <v>ORD_002952</v>
          </cell>
        </row>
        <row r="3676">
          <cell r="A3676" t="str">
            <v>ORD_003790</v>
          </cell>
        </row>
        <row r="3677">
          <cell r="A3677" t="str">
            <v>ORD_000475</v>
          </cell>
        </row>
        <row r="3678">
          <cell r="A3678" t="str">
            <v>ORD_003315</v>
          </cell>
        </row>
        <row r="3679">
          <cell r="A3679" t="str">
            <v>ORD_004353</v>
          </cell>
        </row>
        <row r="3680">
          <cell r="A3680" t="str">
            <v>ORD_003208</v>
          </cell>
        </row>
        <row r="3681">
          <cell r="A3681" t="str">
            <v>ORD_000326</v>
          </cell>
        </row>
        <row r="3682">
          <cell r="A3682" t="str">
            <v>ORD_001482</v>
          </cell>
        </row>
        <row r="3683">
          <cell r="A3683" t="str">
            <v>ORD_001898</v>
          </cell>
        </row>
        <row r="3684">
          <cell r="A3684" t="str">
            <v>ORD_004416</v>
          </cell>
        </row>
        <row r="3685">
          <cell r="A3685" t="str">
            <v>ORD_002293</v>
          </cell>
        </row>
        <row r="3686">
          <cell r="A3686" t="str">
            <v>ORD_003169</v>
          </cell>
        </row>
        <row r="3687">
          <cell r="A3687" t="str">
            <v>ORD_001748</v>
          </cell>
        </row>
        <row r="3688">
          <cell r="A3688" t="str">
            <v>ORD_004536</v>
          </cell>
        </row>
        <row r="3689">
          <cell r="A3689" t="str">
            <v>ORD_002170</v>
          </cell>
        </row>
        <row r="3690">
          <cell r="A3690" t="str">
            <v>ORD_000698</v>
          </cell>
        </row>
        <row r="3691">
          <cell r="A3691" t="str">
            <v>ORD_002597</v>
          </cell>
        </row>
        <row r="3692">
          <cell r="A3692" t="str">
            <v>ORD_004815</v>
          </cell>
        </row>
        <row r="3693">
          <cell r="A3693" t="str">
            <v>ORD_004519</v>
          </cell>
        </row>
        <row r="3694">
          <cell r="A3694" t="str">
            <v>ORD_003687</v>
          </cell>
        </row>
        <row r="3695">
          <cell r="A3695" t="str">
            <v>ORD_000749</v>
          </cell>
        </row>
        <row r="3696">
          <cell r="A3696" t="str">
            <v>ORD_003056</v>
          </cell>
        </row>
        <row r="3697">
          <cell r="A3697" t="str">
            <v>ORD_000138</v>
          </cell>
        </row>
        <row r="3698">
          <cell r="A3698" t="str">
            <v>ORD_001991</v>
          </cell>
        </row>
        <row r="3699">
          <cell r="A3699" t="str">
            <v>ORD_004096</v>
          </cell>
        </row>
        <row r="3700">
          <cell r="A3700" t="str">
            <v>ORD_002008</v>
          </cell>
        </row>
        <row r="3701">
          <cell r="A3701" t="str">
            <v>ORD_000429</v>
          </cell>
        </row>
        <row r="3702">
          <cell r="A3702" t="str">
            <v>ORD_004887</v>
          </cell>
        </row>
        <row r="3703">
          <cell r="A3703" t="str">
            <v>ORD_002282</v>
          </cell>
        </row>
        <row r="3704">
          <cell r="A3704" t="str">
            <v>ORD_002542</v>
          </cell>
        </row>
        <row r="3705">
          <cell r="A3705" t="str">
            <v>ORD_004193</v>
          </cell>
        </row>
        <row r="3706">
          <cell r="A3706" t="str">
            <v>ORD_001964</v>
          </cell>
        </row>
        <row r="3707">
          <cell r="A3707" t="str">
            <v>ORD_001338</v>
          </cell>
        </row>
        <row r="3708">
          <cell r="A3708" t="str">
            <v>ORD_004736</v>
          </cell>
        </row>
        <row r="3709">
          <cell r="A3709" t="str">
            <v>ORD_003831</v>
          </cell>
        </row>
        <row r="3710">
          <cell r="A3710" t="str">
            <v>ORD_001425</v>
          </cell>
        </row>
        <row r="3711">
          <cell r="A3711" t="str">
            <v>ORD_000250</v>
          </cell>
        </row>
        <row r="3712">
          <cell r="A3712" t="str">
            <v>ORD_004066</v>
          </cell>
        </row>
        <row r="3713">
          <cell r="A3713" t="str">
            <v>ORD_000316</v>
          </cell>
        </row>
        <row r="3714">
          <cell r="A3714" t="str">
            <v>ORD_002839</v>
          </cell>
        </row>
        <row r="3715">
          <cell r="A3715" t="str">
            <v>ORD_003741</v>
          </cell>
        </row>
        <row r="3716">
          <cell r="A3716" t="str">
            <v>ORD_000602</v>
          </cell>
        </row>
        <row r="3717">
          <cell r="A3717" t="str">
            <v>ORD_001855</v>
          </cell>
        </row>
        <row r="3718">
          <cell r="A3718" t="str">
            <v>ORD_001599</v>
          </cell>
        </row>
        <row r="3719">
          <cell r="A3719" t="str">
            <v>ORD_001629</v>
          </cell>
        </row>
        <row r="3720">
          <cell r="A3720" t="str">
            <v>ORD_004631</v>
          </cell>
        </row>
        <row r="3721">
          <cell r="A3721" t="str">
            <v>ORD_000711</v>
          </cell>
        </row>
        <row r="3722">
          <cell r="A3722" t="str">
            <v>ORD_000985</v>
          </cell>
        </row>
        <row r="3723">
          <cell r="A3723" t="str">
            <v>ORD_000079</v>
          </cell>
        </row>
        <row r="3724">
          <cell r="A3724" t="str">
            <v>ORD_002042</v>
          </cell>
        </row>
        <row r="3725">
          <cell r="A3725" t="str">
            <v>ORD_002345</v>
          </cell>
        </row>
        <row r="3726">
          <cell r="A3726" t="str">
            <v>ORD_003534</v>
          </cell>
        </row>
        <row r="3727">
          <cell r="A3727" t="str">
            <v>ORD_001234</v>
          </cell>
        </row>
        <row r="3728">
          <cell r="A3728" t="str">
            <v>ORD_000386</v>
          </cell>
        </row>
        <row r="3729">
          <cell r="A3729" t="str">
            <v>ORD_003896</v>
          </cell>
        </row>
        <row r="3730">
          <cell r="A3730" t="str">
            <v>ORD_002632</v>
          </cell>
        </row>
        <row r="3731">
          <cell r="A3731" t="str">
            <v>ORD_003446</v>
          </cell>
        </row>
        <row r="3732">
          <cell r="A3732" t="str">
            <v>ORD_003487</v>
          </cell>
        </row>
        <row r="3733">
          <cell r="A3733" t="str">
            <v>ORD_001818</v>
          </cell>
        </row>
        <row r="3734">
          <cell r="A3734" t="str">
            <v>ORD_001203</v>
          </cell>
        </row>
        <row r="3735">
          <cell r="A3735" t="str">
            <v>ORD_000884</v>
          </cell>
        </row>
        <row r="3736">
          <cell r="A3736" t="str">
            <v>ORD_000662</v>
          </cell>
        </row>
        <row r="3737">
          <cell r="A3737" t="str">
            <v>ORD_000715</v>
          </cell>
        </row>
        <row r="3738">
          <cell r="A3738" t="str">
            <v>ORD_001080</v>
          </cell>
        </row>
        <row r="3739">
          <cell r="A3739" t="str">
            <v>ORD_002289</v>
          </cell>
        </row>
        <row r="3740">
          <cell r="A3740" t="str">
            <v>ORD_003107</v>
          </cell>
        </row>
        <row r="3741">
          <cell r="A3741" t="str">
            <v>ORD_002295</v>
          </cell>
        </row>
        <row r="3742">
          <cell r="A3742" t="str">
            <v>ORD_004926</v>
          </cell>
        </row>
        <row r="3743">
          <cell r="A3743" t="str">
            <v>ORD_001320</v>
          </cell>
        </row>
        <row r="3744">
          <cell r="A3744" t="str">
            <v>ORD_000482</v>
          </cell>
        </row>
        <row r="3745">
          <cell r="A3745" t="str">
            <v>ORD_001779</v>
          </cell>
        </row>
        <row r="3746">
          <cell r="A3746" t="str">
            <v>ORD_001458</v>
          </cell>
        </row>
        <row r="3747">
          <cell r="A3747" t="str">
            <v>ORD_002513</v>
          </cell>
        </row>
        <row r="3748">
          <cell r="A3748" t="str">
            <v>ORD_004466</v>
          </cell>
        </row>
        <row r="3749">
          <cell r="A3749" t="str">
            <v>ORD_000658</v>
          </cell>
        </row>
        <row r="3750">
          <cell r="A3750" t="str">
            <v>ORD_001949</v>
          </cell>
        </row>
        <row r="3751">
          <cell r="A3751" t="str">
            <v>ORD_000679</v>
          </cell>
        </row>
        <row r="3752">
          <cell r="A3752" t="str">
            <v>ORD_001920</v>
          </cell>
        </row>
        <row r="3753">
          <cell r="A3753" t="str">
            <v>ORD_004097</v>
          </cell>
        </row>
        <row r="3754">
          <cell r="A3754" t="str">
            <v>ORD_003353</v>
          </cell>
        </row>
        <row r="3755">
          <cell r="A3755" t="str">
            <v>ORD_004524</v>
          </cell>
        </row>
        <row r="3756">
          <cell r="A3756" t="str">
            <v>ORD_002733</v>
          </cell>
        </row>
        <row r="3757">
          <cell r="A3757" t="str">
            <v>ORD_001564</v>
          </cell>
        </row>
        <row r="3758">
          <cell r="A3758" t="str">
            <v>ORD_002062</v>
          </cell>
        </row>
        <row r="3759">
          <cell r="A3759" t="str">
            <v>ORD_000478</v>
          </cell>
        </row>
        <row r="3760">
          <cell r="A3760" t="str">
            <v>ORD_000551</v>
          </cell>
        </row>
        <row r="3761">
          <cell r="A3761" t="str">
            <v>ORD_000669</v>
          </cell>
        </row>
        <row r="3762">
          <cell r="A3762" t="str">
            <v>ORD_004734</v>
          </cell>
        </row>
        <row r="3763">
          <cell r="A3763" t="str">
            <v>ORD_003320</v>
          </cell>
        </row>
        <row r="3764">
          <cell r="A3764" t="str">
            <v>ORD_000773</v>
          </cell>
        </row>
        <row r="3765">
          <cell r="A3765" t="str">
            <v>ORD_003738</v>
          </cell>
        </row>
        <row r="3766">
          <cell r="A3766" t="str">
            <v>ORD_003189</v>
          </cell>
        </row>
        <row r="3767">
          <cell r="A3767" t="str">
            <v>ORD_002514</v>
          </cell>
        </row>
        <row r="3768">
          <cell r="A3768" t="str">
            <v>ORD_003718</v>
          </cell>
        </row>
        <row r="3769">
          <cell r="A3769" t="str">
            <v>ORD_003294</v>
          </cell>
        </row>
        <row r="3770">
          <cell r="A3770" t="str">
            <v>ORD_000436</v>
          </cell>
        </row>
        <row r="3771">
          <cell r="A3771" t="str">
            <v>ORD_002093</v>
          </cell>
        </row>
        <row r="3772">
          <cell r="A3772" t="str">
            <v>ORD_000869</v>
          </cell>
        </row>
        <row r="3773">
          <cell r="A3773" t="str">
            <v>ORD_000934</v>
          </cell>
        </row>
        <row r="3774">
          <cell r="A3774" t="str">
            <v>ORD_001033</v>
          </cell>
        </row>
        <row r="3775">
          <cell r="A3775" t="str">
            <v>ORD_000299</v>
          </cell>
        </row>
        <row r="3776">
          <cell r="A3776" t="str">
            <v>ORD_000575</v>
          </cell>
        </row>
        <row r="3777">
          <cell r="A3777" t="str">
            <v>ORD_001944</v>
          </cell>
        </row>
        <row r="3778">
          <cell r="A3778" t="str">
            <v>ORD_000653</v>
          </cell>
        </row>
        <row r="3779">
          <cell r="A3779" t="str">
            <v>ORD_000443</v>
          </cell>
        </row>
        <row r="3780">
          <cell r="A3780" t="str">
            <v>ORD_003614</v>
          </cell>
        </row>
        <row r="3781">
          <cell r="A3781" t="str">
            <v>ORD_001311</v>
          </cell>
        </row>
        <row r="3782">
          <cell r="A3782" t="str">
            <v>ORD_002317</v>
          </cell>
        </row>
        <row r="3783">
          <cell r="A3783" t="str">
            <v>ORD_000268</v>
          </cell>
        </row>
        <row r="3784">
          <cell r="A3784" t="str">
            <v>ORD_002309</v>
          </cell>
        </row>
        <row r="3785">
          <cell r="A3785" t="str">
            <v>ORD_004226</v>
          </cell>
        </row>
        <row r="3786">
          <cell r="A3786" t="str">
            <v>ORD_003554</v>
          </cell>
        </row>
        <row r="3787">
          <cell r="A3787" t="str">
            <v>ORD_000098</v>
          </cell>
        </row>
        <row r="3788">
          <cell r="A3788" t="str">
            <v>ORD_001738</v>
          </cell>
        </row>
        <row r="3789">
          <cell r="A3789" t="str">
            <v>ORD_002655</v>
          </cell>
        </row>
        <row r="3790">
          <cell r="A3790" t="str">
            <v>ORD_003527</v>
          </cell>
        </row>
        <row r="3791">
          <cell r="A3791" t="str">
            <v>ORD_003603</v>
          </cell>
        </row>
        <row r="3792">
          <cell r="A3792" t="str">
            <v>ORD_004830</v>
          </cell>
        </row>
        <row r="3793">
          <cell r="A3793" t="str">
            <v>ORD_002953</v>
          </cell>
        </row>
        <row r="3794">
          <cell r="A3794" t="str">
            <v>ORD_000325</v>
          </cell>
        </row>
        <row r="3795">
          <cell r="A3795" t="str">
            <v>ORD_004245</v>
          </cell>
        </row>
        <row r="3796">
          <cell r="A3796" t="str">
            <v>ORD_003042</v>
          </cell>
        </row>
        <row r="3797">
          <cell r="A3797" t="str">
            <v>ORD_004252</v>
          </cell>
        </row>
        <row r="3798">
          <cell r="A3798" t="str">
            <v>ORD_001698</v>
          </cell>
        </row>
        <row r="3799">
          <cell r="A3799" t="str">
            <v>ORD_003467</v>
          </cell>
        </row>
        <row r="3800">
          <cell r="A3800" t="str">
            <v>ORD_001696</v>
          </cell>
        </row>
        <row r="3801">
          <cell r="A3801" t="str">
            <v>ORD_000723</v>
          </cell>
        </row>
        <row r="3802">
          <cell r="A3802" t="str">
            <v>ORD_003405</v>
          </cell>
        </row>
        <row r="3803">
          <cell r="A3803" t="str">
            <v>ORD_003500</v>
          </cell>
        </row>
        <row r="3804">
          <cell r="A3804" t="str">
            <v>ORD_004059</v>
          </cell>
        </row>
        <row r="3805">
          <cell r="A3805" t="str">
            <v>ORD_001286</v>
          </cell>
        </row>
        <row r="3806">
          <cell r="A3806" t="str">
            <v>ORD_001681</v>
          </cell>
        </row>
        <row r="3807">
          <cell r="A3807" t="str">
            <v>ORD_004791</v>
          </cell>
        </row>
        <row r="3808">
          <cell r="A3808" t="str">
            <v>ORD_000416</v>
          </cell>
        </row>
        <row r="3809">
          <cell r="A3809" t="str">
            <v>ORD_000703</v>
          </cell>
        </row>
        <row r="3810">
          <cell r="A3810" t="str">
            <v>ORD_002038</v>
          </cell>
        </row>
        <row r="3811">
          <cell r="A3811" t="str">
            <v>ORD_001986</v>
          </cell>
        </row>
        <row r="3812">
          <cell r="A3812" t="str">
            <v>ORD_001497</v>
          </cell>
        </row>
        <row r="3813">
          <cell r="A3813" t="str">
            <v>ORD_001279</v>
          </cell>
        </row>
        <row r="3814">
          <cell r="A3814" t="str">
            <v>ORD_001706</v>
          </cell>
        </row>
        <row r="3815">
          <cell r="A3815" t="str">
            <v>ORD_003280</v>
          </cell>
        </row>
        <row r="3816">
          <cell r="A3816" t="str">
            <v>ORD_003759</v>
          </cell>
        </row>
        <row r="3817">
          <cell r="A3817" t="str">
            <v>ORD_001679</v>
          </cell>
        </row>
        <row r="3818">
          <cell r="A3818" t="str">
            <v>ORD_004429</v>
          </cell>
        </row>
        <row r="3819">
          <cell r="A3819" t="str">
            <v>ORD_003118</v>
          </cell>
        </row>
        <row r="3820">
          <cell r="A3820" t="str">
            <v>ORD_004580</v>
          </cell>
        </row>
        <row r="3821">
          <cell r="A3821" t="str">
            <v>ORD_003153</v>
          </cell>
        </row>
        <row r="3822">
          <cell r="A3822" t="str">
            <v>ORD_002367</v>
          </cell>
        </row>
        <row r="3823">
          <cell r="A3823" t="str">
            <v>ORD_004105</v>
          </cell>
        </row>
        <row r="3824">
          <cell r="A3824" t="str">
            <v>ORD_004990</v>
          </cell>
        </row>
        <row r="3825">
          <cell r="A3825" t="str">
            <v>ORD_003854</v>
          </cell>
        </row>
        <row r="3826">
          <cell r="A3826" t="str">
            <v>ORD_001569</v>
          </cell>
        </row>
        <row r="3827">
          <cell r="A3827" t="str">
            <v>ORD_004173</v>
          </cell>
        </row>
        <row r="3828">
          <cell r="A3828" t="str">
            <v>ORD_000958</v>
          </cell>
        </row>
        <row r="3829">
          <cell r="A3829" t="str">
            <v>ORD_000011</v>
          </cell>
        </row>
        <row r="3830">
          <cell r="A3830" t="str">
            <v>ORD_000681</v>
          </cell>
        </row>
        <row r="3831">
          <cell r="A3831" t="str">
            <v>ORD_004130</v>
          </cell>
        </row>
        <row r="3832">
          <cell r="A3832" t="str">
            <v>ORD_000870</v>
          </cell>
        </row>
        <row r="3833">
          <cell r="A3833" t="str">
            <v>ORD_001625</v>
          </cell>
        </row>
        <row r="3834">
          <cell r="A3834" t="str">
            <v>ORD_000615</v>
          </cell>
        </row>
        <row r="3835">
          <cell r="A3835" t="str">
            <v>ORD_002684</v>
          </cell>
        </row>
        <row r="3836">
          <cell r="A3836" t="str">
            <v>ORD_002668</v>
          </cell>
        </row>
        <row r="3837">
          <cell r="A3837" t="str">
            <v>ORD_003547</v>
          </cell>
        </row>
        <row r="3838">
          <cell r="A3838" t="str">
            <v>ORD_002387</v>
          </cell>
        </row>
        <row r="3839">
          <cell r="A3839" t="str">
            <v>ORD_002057</v>
          </cell>
        </row>
        <row r="3840">
          <cell r="A3840" t="str">
            <v>ORD_002058</v>
          </cell>
        </row>
        <row r="3841">
          <cell r="A3841" t="str">
            <v>ORD_002265</v>
          </cell>
        </row>
        <row r="3842">
          <cell r="A3842" t="str">
            <v>ORD_002276</v>
          </cell>
        </row>
        <row r="3843">
          <cell r="A3843" t="str">
            <v>ORD_004406</v>
          </cell>
        </row>
        <row r="3844">
          <cell r="A3844" t="str">
            <v>ORD_002662</v>
          </cell>
        </row>
        <row r="3845">
          <cell r="A3845" t="str">
            <v>ORD_003358</v>
          </cell>
        </row>
        <row r="3846">
          <cell r="A3846" t="str">
            <v>ORD_003122</v>
          </cell>
        </row>
        <row r="3847">
          <cell r="A3847" t="str">
            <v>ORD_003386</v>
          </cell>
        </row>
        <row r="3848">
          <cell r="A3848" t="str">
            <v>ORD_003076</v>
          </cell>
        </row>
        <row r="3849">
          <cell r="A3849" t="str">
            <v>ORD_001630</v>
          </cell>
        </row>
        <row r="3850">
          <cell r="A3850" t="str">
            <v>ORD_003894</v>
          </cell>
        </row>
        <row r="3851">
          <cell r="A3851" t="str">
            <v>ORD_002789</v>
          </cell>
        </row>
        <row r="3852">
          <cell r="A3852" t="str">
            <v>ORD_004715</v>
          </cell>
        </row>
        <row r="3853">
          <cell r="A3853" t="str">
            <v>ORD_000170</v>
          </cell>
        </row>
        <row r="3854">
          <cell r="A3854" t="str">
            <v>ORD_000183</v>
          </cell>
        </row>
        <row r="3855">
          <cell r="A3855" t="str">
            <v>ORD_004548</v>
          </cell>
        </row>
        <row r="3856">
          <cell r="A3856" t="str">
            <v>ORD_002986</v>
          </cell>
        </row>
        <row r="3857">
          <cell r="A3857" t="str">
            <v>ORD_003201</v>
          </cell>
        </row>
        <row r="3858">
          <cell r="A3858" t="str">
            <v>ORD_002182</v>
          </cell>
        </row>
        <row r="3859">
          <cell r="A3859" t="str">
            <v>ORD_000549</v>
          </cell>
        </row>
        <row r="3860">
          <cell r="A3860" t="str">
            <v>ORD_004667</v>
          </cell>
        </row>
        <row r="3861">
          <cell r="A3861" t="str">
            <v>ORD_000186</v>
          </cell>
        </row>
        <row r="3862">
          <cell r="A3862" t="str">
            <v>ORD_002730</v>
          </cell>
        </row>
        <row r="3863">
          <cell r="A3863" t="str">
            <v>ORD_000101</v>
          </cell>
        </row>
        <row r="3864">
          <cell r="A3864" t="str">
            <v>ORD_004040</v>
          </cell>
        </row>
        <row r="3865">
          <cell r="A3865" t="str">
            <v>ORD_001553</v>
          </cell>
        </row>
        <row r="3866">
          <cell r="A3866" t="str">
            <v>ORD_001543</v>
          </cell>
        </row>
        <row r="3867">
          <cell r="A3867" t="str">
            <v>ORD_004492</v>
          </cell>
        </row>
        <row r="3868">
          <cell r="A3868" t="str">
            <v>ORD_003445</v>
          </cell>
        </row>
        <row r="3869">
          <cell r="A3869" t="str">
            <v>ORD_002313</v>
          </cell>
        </row>
        <row r="3870">
          <cell r="A3870" t="str">
            <v>ORD_003786</v>
          </cell>
        </row>
        <row r="3871">
          <cell r="A3871" t="str">
            <v>ORD_001513</v>
          </cell>
        </row>
        <row r="3872">
          <cell r="A3872" t="str">
            <v>ORD_002874</v>
          </cell>
        </row>
        <row r="3873">
          <cell r="A3873" t="str">
            <v>ORD_000974</v>
          </cell>
        </row>
        <row r="3874">
          <cell r="A3874" t="str">
            <v>ORD_003688</v>
          </cell>
        </row>
        <row r="3875">
          <cell r="A3875" t="str">
            <v>ORD_002560</v>
          </cell>
        </row>
        <row r="3876">
          <cell r="A3876" t="str">
            <v>ORD_004302</v>
          </cell>
        </row>
        <row r="3877">
          <cell r="A3877" t="str">
            <v>ORD_000118</v>
          </cell>
        </row>
        <row r="3878">
          <cell r="A3878" t="str">
            <v>ORD_003827</v>
          </cell>
        </row>
        <row r="3879">
          <cell r="A3879" t="str">
            <v>ORD_003960</v>
          </cell>
        </row>
        <row r="3880">
          <cell r="A3880" t="str">
            <v>ORD_000649</v>
          </cell>
        </row>
        <row r="3881">
          <cell r="A3881" t="str">
            <v>ORD_001164</v>
          </cell>
        </row>
        <row r="3882">
          <cell r="A3882" t="str">
            <v>ORD_004598</v>
          </cell>
        </row>
        <row r="3883">
          <cell r="A3883" t="str">
            <v>ORD_001924</v>
          </cell>
        </row>
        <row r="3884">
          <cell r="A3884" t="str">
            <v>ORD_000499</v>
          </cell>
        </row>
        <row r="3885">
          <cell r="A3885" t="str">
            <v>ORD_001765</v>
          </cell>
        </row>
        <row r="3886">
          <cell r="A3886" t="str">
            <v>ORD_001605</v>
          </cell>
        </row>
        <row r="3887">
          <cell r="A3887" t="str">
            <v>ORD_004971</v>
          </cell>
        </row>
        <row r="3888">
          <cell r="A3888" t="str">
            <v>ORD_003326</v>
          </cell>
        </row>
        <row r="3889">
          <cell r="A3889" t="str">
            <v>ORD_001227</v>
          </cell>
        </row>
        <row r="3890">
          <cell r="A3890" t="str">
            <v>ORD_001866</v>
          </cell>
        </row>
        <row r="3891">
          <cell r="A3891" t="str">
            <v>ORD_000115</v>
          </cell>
        </row>
        <row r="3892">
          <cell r="A3892" t="str">
            <v>ORD_004375</v>
          </cell>
        </row>
        <row r="3893">
          <cell r="A3893" t="str">
            <v>ORD_004510</v>
          </cell>
        </row>
        <row r="3894">
          <cell r="A3894" t="str">
            <v>ORD_003050</v>
          </cell>
        </row>
        <row r="3895">
          <cell r="A3895" t="str">
            <v>ORD_002879</v>
          </cell>
        </row>
        <row r="3896">
          <cell r="A3896" t="str">
            <v>ORD_001259</v>
          </cell>
        </row>
        <row r="3897">
          <cell r="A3897" t="str">
            <v>ORD_001214</v>
          </cell>
        </row>
        <row r="3898">
          <cell r="A3898" t="str">
            <v>ORD_000750</v>
          </cell>
        </row>
        <row r="3899">
          <cell r="A3899" t="str">
            <v>ORD_004122</v>
          </cell>
        </row>
        <row r="3900">
          <cell r="A3900" t="str">
            <v>ORD_003862</v>
          </cell>
        </row>
        <row r="3901">
          <cell r="A3901" t="str">
            <v>ORD_001106</v>
          </cell>
        </row>
        <row r="3902">
          <cell r="A3902" t="str">
            <v>ORD_001065</v>
          </cell>
        </row>
        <row r="3903">
          <cell r="A3903" t="str">
            <v>ORD_002640</v>
          </cell>
        </row>
        <row r="3904">
          <cell r="A3904" t="str">
            <v>ORD_003089</v>
          </cell>
        </row>
        <row r="3905">
          <cell r="A3905" t="str">
            <v>ORD_001579</v>
          </cell>
        </row>
        <row r="3906">
          <cell r="A3906" t="str">
            <v>ORD_000263</v>
          </cell>
        </row>
        <row r="3907">
          <cell r="A3907" t="str">
            <v>ORD_000965</v>
          </cell>
        </row>
        <row r="3908">
          <cell r="A3908" t="str">
            <v>ORD_000530</v>
          </cell>
        </row>
        <row r="3909">
          <cell r="A3909" t="str">
            <v>ORD_003331</v>
          </cell>
        </row>
        <row r="3910">
          <cell r="A3910" t="str">
            <v>ORD_004627</v>
          </cell>
        </row>
        <row r="3911">
          <cell r="A3911" t="str">
            <v>ORD_002124</v>
          </cell>
        </row>
        <row r="3912">
          <cell r="A3912" t="str">
            <v>ORD_004132</v>
          </cell>
        </row>
        <row r="3913">
          <cell r="A3913" t="str">
            <v>ORD_003140</v>
          </cell>
        </row>
        <row r="3914">
          <cell r="A3914" t="str">
            <v>ORD_001756</v>
          </cell>
        </row>
        <row r="3915">
          <cell r="A3915" t="str">
            <v>ORD_003821</v>
          </cell>
        </row>
        <row r="3916">
          <cell r="A3916" t="str">
            <v>ORD_003317</v>
          </cell>
        </row>
        <row r="3917">
          <cell r="A3917" t="str">
            <v>ORD_001077</v>
          </cell>
        </row>
        <row r="3918">
          <cell r="A3918" t="str">
            <v>ORD_003125</v>
          </cell>
        </row>
        <row r="3919">
          <cell r="A3919" t="str">
            <v>ORD_004081</v>
          </cell>
        </row>
        <row r="3920">
          <cell r="A3920" t="str">
            <v>ORD_001490</v>
          </cell>
        </row>
        <row r="3921">
          <cell r="A3921" t="str">
            <v>ORD_002611</v>
          </cell>
        </row>
        <row r="3922">
          <cell r="A3922" t="str">
            <v>ORD_004052</v>
          </cell>
        </row>
        <row r="3923">
          <cell r="A3923" t="str">
            <v>ORD_002357</v>
          </cell>
        </row>
        <row r="3924">
          <cell r="A3924" t="str">
            <v>ORD_001317</v>
          </cell>
        </row>
        <row r="3925">
          <cell r="A3925" t="str">
            <v>ORD_001993</v>
          </cell>
        </row>
        <row r="3926">
          <cell r="A3926" t="str">
            <v>ORD_004021</v>
          </cell>
        </row>
        <row r="3927">
          <cell r="A3927" t="str">
            <v>ORD_000820</v>
          </cell>
        </row>
        <row r="3928">
          <cell r="A3928" t="str">
            <v>ORD_001527</v>
          </cell>
        </row>
        <row r="3929">
          <cell r="A3929" t="str">
            <v>ORD_004558</v>
          </cell>
        </row>
        <row r="3930">
          <cell r="A3930" t="str">
            <v>ORD_002717</v>
          </cell>
        </row>
        <row r="3931">
          <cell r="A3931" t="str">
            <v>ORD_004275</v>
          </cell>
        </row>
        <row r="3932">
          <cell r="A3932" t="str">
            <v>ORD_004012</v>
          </cell>
        </row>
        <row r="3933">
          <cell r="A3933" t="str">
            <v>ORD_004261</v>
          </cell>
        </row>
        <row r="3934">
          <cell r="A3934" t="str">
            <v>ORD_004450</v>
          </cell>
        </row>
        <row r="3935">
          <cell r="A3935" t="str">
            <v>ORD_004881</v>
          </cell>
        </row>
        <row r="3936">
          <cell r="A3936" t="str">
            <v>ORD_003179</v>
          </cell>
        </row>
        <row r="3937">
          <cell r="A3937" t="str">
            <v>ORD_002458</v>
          </cell>
        </row>
        <row r="3938">
          <cell r="A3938" t="str">
            <v>ORD_000673</v>
          </cell>
        </row>
        <row r="3939">
          <cell r="A3939" t="str">
            <v>ORD_001740</v>
          </cell>
        </row>
        <row r="3940">
          <cell r="A3940" t="str">
            <v>ORD_003783</v>
          </cell>
        </row>
        <row r="3941">
          <cell r="A3941" t="str">
            <v>ORD_002562</v>
          </cell>
        </row>
        <row r="3942">
          <cell r="A3942" t="str">
            <v>ORD_004159</v>
          </cell>
        </row>
        <row r="3943">
          <cell r="A3943" t="str">
            <v>ORD_000838</v>
          </cell>
        </row>
        <row r="3944">
          <cell r="A3944" t="str">
            <v>ORD_003559</v>
          </cell>
        </row>
        <row r="3945">
          <cell r="A3945" t="str">
            <v>ORD_000382</v>
          </cell>
        </row>
        <row r="3946">
          <cell r="A3946" t="str">
            <v>ORD_000743</v>
          </cell>
        </row>
        <row r="3947">
          <cell r="A3947" t="str">
            <v>ORD_004975</v>
          </cell>
        </row>
        <row r="3948">
          <cell r="A3948" t="str">
            <v>ORD_000761</v>
          </cell>
        </row>
        <row r="3949">
          <cell r="A3949" t="str">
            <v>ORD_004552</v>
          </cell>
        </row>
        <row r="3950">
          <cell r="A3950" t="str">
            <v>ORD_003631</v>
          </cell>
        </row>
        <row r="3951">
          <cell r="A3951" t="str">
            <v>ORD_000970</v>
          </cell>
        </row>
        <row r="3952">
          <cell r="A3952" t="str">
            <v>ORD_004719</v>
          </cell>
        </row>
        <row r="3953">
          <cell r="A3953" t="str">
            <v>ORD_002294</v>
          </cell>
        </row>
        <row r="3954">
          <cell r="A3954" t="str">
            <v>ORD_003758</v>
          </cell>
        </row>
        <row r="3955">
          <cell r="A3955" t="str">
            <v>ORD_001442</v>
          </cell>
        </row>
        <row r="3956">
          <cell r="A3956" t="str">
            <v>ORD_001361</v>
          </cell>
        </row>
        <row r="3957">
          <cell r="A3957" t="str">
            <v>ORD_001136</v>
          </cell>
        </row>
        <row r="3958">
          <cell r="A3958" t="str">
            <v>ORD_004467</v>
          </cell>
        </row>
        <row r="3959">
          <cell r="A3959" t="str">
            <v>ORD_000042</v>
          </cell>
        </row>
        <row r="3960">
          <cell r="A3960" t="str">
            <v>ORD_004909</v>
          </cell>
        </row>
        <row r="3961">
          <cell r="A3961" t="str">
            <v>ORD_003080</v>
          </cell>
        </row>
        <row r="3962">
          <cell r="A3962" t="str">
            <v>ORD_004532</v>
          </cell>
        </row>
        <row r="3963">
          <cell r="A3963" t="str">
            <v>ORD_004935</v>
          </cell>
        </row>
        <row r="3964">
          <cell r="A3964" t="str">
            <v>ORD_001595</v>
          </cell>
        </row>
        <row r="3965">
          <cell r="A3965" t="str">
            <v>ORD_000939</v>
          </cell>
        </row>
        <row r="3966">
          <cell r="A3966" t="str">
            <v>ORD_001720</v>
          </cell>
        </row>
        <row r="3967">
          <cell r="A3967" t="str">
            <v>ORD_002745</v>
          </cell>
        </row>
        <row r="3968">
          <cell r="A3968" t="str">
            <v>ORD_001261</v>
          </cell>
        </row>
        <row r="3969">
          <cell r="A3969" t="str">
            <v>ORD_003421</v>
          </cell>
        </row>
        <row r="3970">
          <cell r="A3970" t="str">
            <v>ORD_004087</v>
          </cell>
        </row>
        <row r="3971">
          <cell r="A3971" t="str">
            <v>ORD_001895</v>
          </cell>
        </row>
        <row r="3972">
          <cell r="A3972" t="str">
            <v>ORD_002310</v>
          </cell>
        </row>
        <row r="3973">
          <cell r="A3973" t="str">
            <v>ORD_004691</v>
          </cell>
        </row>
        <row r="3974">
          <cell r="A3974" t="str">
            <v>ORD_003804</v>
          </cell>
        </row>
        <row r="3975">
          <cell r="A3975" t="str">
            <v>ORD_000583</v>
          </cell>
        </row>
        <row r="3976">
          <cell r="A3976" t="str">
            <v>ORD_001092</v>
          </cell>
        </row>
        <row r="3977">
          <cell r="A3977" t="str">
            <v>ORD_001223</v>
          </cell>
        </row>
        <row r="3978">
          <cell r="A3978" t="str">
            <v>ORD_001050</v>
          </cell>
        </row>
        <row r="3979">
          <cell r="A3979" t="str">
            <v>ORD_000100</v>
          </cell>
        </row>
        <row r="3980">
          <cell r="A3980" t="str">
            <v>ORD_000029</v>
          </cell>
        </row>
        <row r="3981">
          <cell r="A3981" t="str">
            <v>ORD_004418</v>
          </cell>
        </row>
        <row r="3982">
          <cell r="A3982" t="str">
            <v>ORD_003347</v>
          </cell>
        </row>
        <row r="3983">
          <cell r="A3983" t="str">
            <v>ORD_001998</v>
          </cell>
        </row>
        <row r="3984">
          <cell r="A3984" t="str">
            <v>ORD_004743</v>
          </cell>
        </row>
        <row r="3985">
          <cell r="A3985" t="str">
            <v>ORD_002712</v>
          </cell>
        </row>
        <row r="3986">
          <cell r="A3986" t="str">
            <v>ORD_003138</v>
          </cell>
        </row>
        <row r="3987">
          <cell r="A3987" t="str">
            <v>ORD_003633</v>
          </cell>
        </row>
        <row r="3988">
          <cell r="A3988" t="str">
            <v>ORD_002088</v>
          </cell>
        </row>
        <row r="3989">
          <cell r="A3989" t="str">
            <v>ORD_000471</v>
          </cell>
        </row>
        <row r="3990">
          <cell r="A3990" t="str">
            <v>ORD_000076</v>
          </cell>
        </row>
        <row r="3991">
          <cell r="A3991" t="str">
            <v>ORD_003141</v>
          </cell>
        </row>
        <row r="3992">
          <cell r="A3992" t="str">
            <v>ORD_004399</v>
          </cell>
        </row>
        <row r="3993">
          <cell r="A3993" t="str">
            <v>ORD_003367</v>
          </cell>
        </row>
        <row r="3994">
          <cell r="A3994" t="str">
            <v>ORD_003328</v>
          </cell>
        </row>
        <row r="3995">
          <cell r="A3995" t="str">
            <v>ORD_001522</v>
          </cell>
        </row>
        <row r="3996">
          <cell r="A3996" t="str">
            <v>ORD_004538</v>
          </cell>
        </row>
        <row r="3997">
          <cell r="A3997" t="str">
            <v>ORD_004205</v>
          </cell>
        </row>
        <row r="3998">
          <cell r="A3998" t="str">
            <v>ORD_004210</v>
          </cell>
        </row>
        <row r="3999">
          <cell r="A3999" t="str">
            <v>ORD_003501</v>
          </cell>
        </row>
        <row r="4000">
          <cell r="A4000" t="str">
            <v>ORD_004974</v>
          </cell>
        </row>
        <row r="4001">
          <cell r="A4001" t="str">
            <v>ORD_001221</v>
          </cell>
        </row>
        <row r="4002">
          <cell r="A4002" t="str">
            <v>ORD_001454</v>
          </cell>
        </row>
        <row r="4003">
          <cell r="A4003" t="str">
            <v>ORD_000524</v>
          </cell>
        </row>
        <row r="4004">
          <cell r="A4004" t="str">
            <v>ORD_000822</v>
          </cell>
        </row>
        <row r="4005">
          <cell r="A4005" t="str">
            <v>ORD_004246</v>
          </cell>
        </row>
        <row r="4006">
          <cell r="A4006" t="str">
            <v>ORD_001389</v>
          </cell>
        </row>
        <row r="4007">
          <cell r="A4007" t="str">
            <v>ORD_002462</v>
          </cell>
        </row>
        <row r="4008">
          <cell r="A4008" t="str">
            <v>ORD_003101</v>
          </cell>
        </row>
        <row r="4009">
          <cell r="A4009" t="str">
            <v>ORD_003034</v>
          </cell>
        </row>
        <row r="4010">
          <cell r="A4010" t="str">
            <v>ORD_000287</v>
          </cell>
        </row>
        <row r="4011">
          <cell r="A4011" t="str">
            <v>ORD_004741</v>
          </cell>
        </row>
        <row r="4012">
          <cell r="A4012" t="str">
            <v>ORD_001128</v>
          </cell>
        </row>
        <row r="4013">
          <cell r="A4013" t="str">
            <v>ORD_003728</v>
          </cell>
        </row>
        <row r="4014">
          <cell r="A4014" t="str">
            <v>ORD_000643</v>
          </cell>
        </row>
        <row r="4015">
          <cell r="A4015" t="str">
            <v>ORD_003574</v>
          </cell>
        </row>
        <row r="4016">
          <cell r="A4016" t="str">
            <v>ORD_004046</v>
          </cell>
        </row>
        <row r="4017">
          <cell r="A4017" t="str">
            <v>ORD_002251</v>
          </cell>
        </row>
        <row r="4018">
          <cell r="A4018" t="str">
            <v>ORD_002299</v>
          </cell>
        </row>
        <row r="4019">
          <cell r="A4019" t="str">
            <v>ORD_001002</v>
          </cell>
        </row>
        <row r="4020">
          <cell r="A4020" t="str">
            <v>ORD_002814</v>
          </cell>
        </row>
        <row r="4021">
          <cell r="A4021" t="str">
            <v>ORD_004305</v>
          </cell>
        </row>
        <row r="4022">
          <cell r="A4022" t="str">
            <v>ORD_004166</v>
          </cell>
        </row>
        <row r="4023">
          <cell r="A4023" t="str">
            <v>ORD_001369</v>
          </cell>
        </row>
        <row r="4024">
          <cell r="A4024" t="str">
            <v>ORD_002744</v>
          </cell>
        </row>
        <row r="4025">
          <cell r="A4025" t="str">
            <v>ORD_002111</v>
          </cell>
        </row>
        <row r="4026">
          <cell r="A4026" t="str">
            <v>ORD_004378</v>
          </cell>
        </row>
        <row r="4027">
          <cell r="A4027" t="str">
            <v>ORD_002735</v>
          </cell>
        </row>
        <row r="4028">
          <cell r="A4028" t="str">
            <v>ORD_003842</v>
          </cell>
        </row>
        <row r="4029">
          <cell r="A4029" t="str">
            <v>ORD_001869</v>
          </cell>
        </row>
        <row r="4030">
          <cell r="A4030" t="str">
            <v>ORD_004423</v>
          </cell>
        </row>
        <row r="4031">
          <cell r="A4031" t="str">
            <v>ORD_001883</v>
          </cell>
        </row>
        <row r="4032">
          <cell r="A4032" t="str">
            <v>ORD_004772</v>
          </cell>
        </row>
        <row r="4033">
          <cell r="A4033" t="str">
            <v>ORD_004686</v>
          </cell>
        </row>
        <row r="4034">
          <cell r="A4034" t="str">
            <v>ORD_004984</v>
          </cell>
        </row>
        <row r="4035">
          <cell r="A4035" t="str">
            <v>ORD_003910</v>
          </cell>
        </row>
        <row r="4036">
          <cell r="A4036" t="str">
            <v>ORD_004901</v>
          </cell>
        </row>
        <row r="4037">
          <cell r="A4037" t="str">
            <v>ORD_001068</v>
          </cell>
        </row>
        <row r="4038">
          <cell r="A4038" t="str">
            <v>ORD_002413</v>
          </cell>
        </row>
        <row r="4039">
          <cell r="A4039" t="str">
            <v>ORD_002743</v>
          </cell>
        </row>
        <row r="4040">
          <cell r="A4040" t="str">
            <v>ORD_002244</v>
          </cell>
        </row>
        <row r="4041">
          <cell r="A4041" t="str">
            <v>ORD_002448</v>
          </cell>
        </row>
        <row r="4042">
          <cell r="A4042" t="str">
            <v>ORD_003165</v>
          </cell>
        </row>
        <row r="4043">
          <cell r="A4043" t="str">
            <v>ORD_000808</v>
          </cell>
        </row>
        <row r="4044">
          <cell r="A4044" t="str">
            <v>ORD_004813</v>
          </cell>
        </row>
        <row r="4045">
          <cell r="A4045" t="str">
            <v>ORD_003008</v>
          </cell>
        </row>
        <row r="4046">
          <cell r="A4046" t="str">
            <v>ORD_000265</v>
          </cell>
        </row>
        <row r="4047">
          <cell r="A4047" t="str">
            <v>ORD_002726</v>
          </cell>
        </row>
        <row r="4048">
          <cell r="A4048" t="str">
            <v>ORD_003904</v>
          </cell>
        </row>
        <row r="4049">
          <cell r="A4049" t="str">
            <v>ORD_000437</v>
          </cell>
        </row>
        <row r="4050">
          <cell r="A4050" t="str">
            <v>ORD_001386</v>
          </cell>
        </row>
        <row r="4051">
          <cell r="A4051" t="str">
            <v>ORD_000961</v>
          </cell>
        </row>
        <row r="4052">
          <cell r="A4052" t="str">
            <v>ORD_000027</v>
          </cell>
        </row>
        <row r="4053">
          <cell r="A4053" t="str">
            <v>ORD_002569</v>
          </cell>
        </row>
        <row r="4054">
          <cell r="A4054" t="str">
            <v>ORD_004068</v>
          </cell>
        </row>
        <row r="4055">
          <cell r="A4055" t="str">
            <v>ORD_000135</v>
          </cell>
        </row>
        <row r="4056">
          <cell r="A4056" t="str">
            <v>ORD_000742</v>
          </cell>
        </row>
        <row r="4057">
          <cell r="A4057" t="str">
            <v>ORD_001503</v>
          </cell>
        </row>
        <row r="4058">
          <cell r="A4058" t="str">
            <v>ORD_000947</v>
          </cell>
        </row>
        <row r="4059">
          <cell r="A4059" t="str">
            <v>ORD_002773</v>
          </cell>
        </row>
        <row r="4060">
          <cell r="A4060" t="str">
            <v>ORD_002637</v>
          </cell>
        </row>
        <row r="4061">
          <cell r="A4061" t="str">
            <v>ORD_002892</v>
          </cell>
        </row>
        <row r="4062">
          <cell r="A4062" t="str">
            <v>ORD_000387</v>
          </cell>
        </row>
        <row r="4063">
          <cell r="A4063" t="str">
            <v>ORD_000496</v>
          </cell>
        </row>
        <row r="4064">
          <cell r="A4064" t="str">
            <v>ORD_003388</v>
          </cell>
        </row>
        <row r="4065">
          <cell r="A4065" t="str">
            <v>ORD_003272</v>
          </cell>
        </row>
        <row r="4066">
          <cell r="A4066" t="str">
            <v>ORD_003198</v>
          </cell>
        </row>
        <row r="4067">
          <cell r="A4067" t="str">
            <v>ORD_002502</v>
          </cell>
        </row>
        <row r="4068">
          <cell r="A4068" t="str">
            <v>ORD_003468</v>
          </cell>
        </row>
        <row r="4069">
          <cell r="A4069" t="str">
            <v>ORD_004345</v>
          </cell>
        </row>
        <row r="4070">
          <cell r="A4070" t="str">
            <v>ORD_000201</v>
          </cell>
        </row>
        <row r="4071">
          <cell r="A4071" t="str">
            <v>ORD_003705</v>
          </cell>
        </row>
        <row r="4072">
          <cell r="A4072" t="str">
            <v>ORD_000650</v>
          </cell>
        </row>
        <row r="4073">
          <cell r="A4073" t="str">
            <v>ORD_002368</v>
          </cell>
        </row>
        <row r="4074">
          <cell r="A4074" t="str">
            <v>ORD_000782</v>
          </cell>
        </row>
        <row r="4075">
          <cell r="A4075" t="str">
            <v>ORD_003674</v>
          </cell>
        </row>
        <row r="4076">
          <cell r="A4076" t="str">
            <v>ORD_002774</v>
          </cell>
        </row>
        <row r="4077">
          <cell r="A4077" t="str">
            <v>ORD_001059</v>
          </cell>
        </row>
        <row r="4078">
          <cell r="A4078" t="str">
            <v>ORD_004821</v>
          </cell>
        </row>
        <row r="4079">
          <cell r="A4079" t="str">
            <v>ORD_000665</v>
          </cell>
        </row>
        <row r="4080">
          <cell r="A4080" t="str">
            <v>ORD_002841</v>
          </cell>
        </row>
        <row r="4081">
          <cell r="A4081" t="str">
            <v>ORD_002925</v>
          </cell>
        </row>
        <row r="4082">
          <cell r="A4082" t="str">
            <v>ORD_001627</v>
          </cell>
        </row>
        <row r="4083">
          <cell r="A4083" t="str">
            <v>ORD_004591</v>
          </cell>
        </row>
        <row r="4084">
          <cell r="A4084" t="str">
            <v>ORD_004752</v>
          </cell>
        </row>
        <row r="4085">
          <cell r="A4085" t="str">
            <v>ORD_003148</v>
          </cell>
        </row>
        <row r="4086">
          <cell r="A4086" t="str">
            <v>ORD_001903</v>
          </cell>
        </row>
        <row r="4087">
          <cell r="A4087" t="str">
            <v>ORD_000184</v>
          </cell>
        </row>
        <row r="4088">
          <cell r="A4088" t="str">
            <v>ORD_001953</v>
          </cell>
        </row>
        <row r="4089">
          <cell r="A4089" t="str">
            <v>ORD_002362</v>
          </cell>
        </row>
        <row r="4090">
          <cell r="A4090" t="str">
            <v>ORD_004623</v>
          </cell>
        </row>
        <row r="4091">
          <cell r="A4091" t="str">
            <v>ORD_002026</v>
          </cell>
        </row>
        <row r="4092">
          <cell r="A4092" t="str">
            <v>ORD_001099</v>
          </cell>
        </row>
        <row r="4093">
          <cell r="A4093" t="str">
            <v>ORD_001478</v>
          </cell>
        </row>
        <row r="4094">
          <cell r="A4094" t="str">
            <v>ORD_003062</v>
          </cell>
        </row>
        <row r="4095">
          <cell r="A4095" t="str">
            <v>ORD_003751</v>
          </cell>
        </row>
        <row r="4096">
          <cell r="A4096" t="str">
            <v>ORD_000199</v>
          </cell>
        </row>
        <row r="4097">
          <cell r="A4097" t="str">
            <v>ORD_003121</v>
          </cell>
        </row>
        <row r="4098">
          <cell r="A4098" t="str">
            <v>ORD_004158</v>
          </cell>
        </row>
        <row r="4099">
          <cell r="A4099" t="str">
            <v>ORD_003069</v>
          </cell>
        </row>
        <row r="4100">
          <cell r="A4100" t="str">
            <v>ORD_003654</v>
          </cell>
        </row>
        <row r="4101">
          <cell r="A4101" t="str">
            <v>ORD_003981</v>
          </cell>
        </row>
        <row r="4102">
          <cell r="A4102" t="str">
            <v>ORD_003311</v>
          </cell>
        </row>
        <row r="4103">
          <cell r="A4103" t="str">
            <v>ORD_003228</v>
          </cell>
        </row>
        <row r="4104">
          <cell r="A4104" t="str">
            <v>ORD_003613</v>
          </cell>
        </row>
        <row r="4105">
          <cell r="A4105" t="str">
            <v>ORD_000304</v>
          </cell>
        </row>
        <row r="4106">
          <cell r="A4106" t="str">
            <v>ORD_001113</v>
          </cell>
        </row>
        <row r="4107">
          <cell r="A4107" t="str">
            <v>ORD_003694</v>
          </cell>
        </row>
        <row r="4108">
          <cell r="A4108" t="str">
            <v>ORD_000873</v>
          </cell>
        </row>
        <row r="4109">
          <cell r="A4109" t="str">
            <v>ORD_001680</v>
          </cell>
        </row>
        <row r="4110">
          <cell r="A4110" t="str">
            <v>ORD_003597</v>
          </cell>
        </row>
        <row r="4111">
          <cell r="A4111" t="str">
            <v>ORD_002280</v>
          </cell>
        </row>
        <row r="4112">
          <cell r="A4112" t="str">
            <v>ORD_003408</v>
          </cell>
        </row>
        <row r="4113">
          <cell r="A4113" t="str">
            <v>ORD_003863</v>
          </cell>
        </row>
        <row r="4114">
          <cell r="A4114" t="str">
            <v>ORD_004792</v>
          </cell>
        </row>
        <row r="4115">
          <cell r="A4115" t="str">
            <v>ORD_003482</v>
          </cell>
        </row>
        <row r="4116">
          <cell r="A4116" t="str">
            <v>ORD_003954</v>
          </cell>
        </row>
        <row r="4117">
          <cell r="A4117" t="str">
            <v>ORD_004531</v>
          </cell>
        </row>
        <row r="4118">
          <cell r="A4118" t="str">
            <v>ORD_003048</v>
          </cell>
        </row>
        <row r="4119">
          <cell r="A4119" t="str">
            <v>ORD_001420</v>
          </cell>
        </row>
        <row r="4120">
          <cell r="A4120" t="str">
            <v>ORD_004891</v>
          </cell>
        </row>
        <row r="4121">
          <cell r="A4121" t="str">
            <v>ORD_003459</v>
          </cell>
        </row>
        <row r="4122">
          <cell r="A4122" t="str">
            <v>ORD_001745</v>
          </cell>
        </row>
        <row r="4123">
          <cell r="A4123" t="str">
            <v>ORD_002645</v>
          </cell>
        </row>
        <row r="4124">
          <cell r="A4124" t="str">
            <v>ORD_002619</v>
          </cell>
        </row>
        <row r="4125">
          <cell r="A4125" t="str">
            <v>ORD_002155</v>
          </cell>
        </row>
        <row r="4126">
          <cell r="A4126" t="str">
            <v>ORD_002963</v>
          </cell>
        </row>
        <row r="4127">
          <cell r="A4127" t="str">
            <v>ORD_002474</v>
          </cell>
        </row>
        <row r="4128">
          <cell r="A4128" t="str">
            <v>ORD_004044</v>
          </cell>
        </row>
        <row r="4129">
          <cell r="A4129" t="str">
            <v>ORD_000331</v>
          </cell>
        </row>
        <row r="4130">
          <cell r="A4130" t="str">
            <v>ORD_003099</v>
          </cell>
        </row>
        <row r="4131">
          <cell r="A4131" t="str">
            <v>ORD_001852</v>
          </cell>
        </row>
        <row r="4132">
          <cell r="A4132" t="str">
            <v>ORD_004608</v>
          </cell>
        </row>
        <row r="4133">
          <cell r="A4133" t="str">
            <v>ORD_001915</v>
          </cell>
        </row>
        <row r="4134">
          <cell r="A4134" t="str">
            <v>ORD_004721</v>
          </cell>
        </row>
        <row r="4135">
          <cell r="A4135" t="str">
            <v>ORD_000631</v>
          </cell>
        </row>
        <row r="4136">
          <cell r="A4136" t="str">
            <v>ORD_000108</v>
          </cell>
        </row>
        <row r="4137">
          <cell r="A4137" t="str">
            <v>ORD_000061</v>
          </cell>
        </row>
        <row r="4138">
          <cell r="A4138" t="str">
            <v>ORD_004144</v>
          </cell>
        </row>
        <row r="4139">
          <cell r="A4139" t="str">
            <v>ORD_003435</v>
          </cell>
        </row>
        <row r="4140">
          <cell r="A4140" t="str">
            <v>ORD_000323</v>
          </cell>
        </row>
        <row r="4141">
          <cell r="A4141" t="str">
            <v>ORD_000262</v>
          </cell>
        </row>
        <row r="4142">
          <cell r="A4142" t="str">
            <v>ORD_000383</v>
          </cell>
        </row>
        <row r="4143">
          <cell r="A4143" t="str">
            <v>ORD_004565</v>
          </cell>
        </row>
        <row r="4144">
          <cell r="A4144" t="str">
            <v>ORD_001644</v>
          </cell>
        </row>
        <row r="4145">
          <cell r="A4145" t="str">
            <v>ORD_000241</v>
          </cell>
        </row>
        <row r="4146">
          <cell r="A4146" t="str">
            <v>ORD_004463</v>
          </cell>
        </row>
        <row r="4147">
          <cell r="A4147" t="str">
            <v>ORD_003521</v>
          </cell>
        </row>
        <row r="4148">
          <cell r="A4148" t="str">
            <v>ORD_003268</v>
          </cell>
        </row>
        <row r="4149">
          <cell r="A4149" t="str">
            <v>ORD_001018</v>
          </cell>
        </row>
        <row r="4150">
          <cell r="A4150" t="str">
            <v>ORD_004867</v>
          </cell>
        </row>
        <row r="4151">
          <cell r="A4151" t="str">
            <v>ORD_004761</v>
          </cell>
        </row>
        <row r="4152">
          <cell r="A4152" t="str">
            <v>ORD_001006</v>
          </cell>
        </row>
        <row r="4153">
          <cell r="A4153" t="str">
            <v>ORD_002894</v>
          </cell>
        </row>
        <row r="4154">
          <cell r="A4154" t="str">
            <v>ORD_004461</v>
          </cell>
        </row>
        <row r="4155">
          <cell r="A4155" t="str">
            <v>ORD_002541</v>
          </cell>
        </row>
        <row r="4156">
          <cell r="A4156" t="str">
            <v>ORD_003700</v>
          </cell>
        </row>
        <row r="4157">
          <cell r="A4157" t="str">
            <v>ORD_000577</v>
          </cell>
        </row>
        <row r="4158">
          <cell r="A4158" t="str">
            <v>ORD_002547</v>
          </cell>
        </row>
        <row r="4159">
          <cell r="A4159" t="str">
            <v>ORD_000856</v>
          </cell>
        </row>
        <row r="4160">
          <cell r="A4160" t="str">
            <v>ORD_003098</v>
          </cell>
        </row>
        <row r="4161">
          <cell r="A4161" t="str">
            <v>ORD_004937</v>
          </cell>
        </row>
        <row r="4162">
          <cell r="A4162" t="str">
            <v>ORD_004351</v>
          </cell>
        </row>
        <row r="4163">
          <cell r="A4163" t="str">
            <v>ORD_002702</v>
          </cell>
        </row>
        <row r="4164">
          <cell r="A4164" t="str">
            <v>ORD_001272</v>
          </cell>
        </row>
        <row r="4165">
          <cell r="A4165" t="str">
            <v>ORD_000395</v>
          </cell>
        </row>
        <row r="4166">
          <cell r="A4166" t="str">
            <v>ORD_003544</v>
          </cell>
        </row>
        <row r="4167">
          <cell r="A4167" t="str">
            <v>ORD_000709</v>
          </cell>
        </row>
        <row r="4168">
          <cell r="A4168" t="str">
            <v>ORD_004020</v>
          </cell>
        </row>
        <row r="4169">
          <cell r="A4169" t="str">
            <v>ORD_004373</v>
          </cell>
        </row>
        <row r="4170">
          <cell r="A4170" t="str">
            <v>ORD_004197</v>
          </cell>
        </row>
        <row r="4171">
          <cell r="A4171" t="str">
            <v>ORD_003275</v>
          </cell>
        </row>
        <row r="4172">
          <cell r="A4172" t="str">
            <v>ORD_000652</v>
          </cell>
        </row>
        <row r="4173">
          <cell r="A4173" t="str">
            <v>ORD_000570</v>
          </cell>
        </row>
        <row r="4174">
          <cell r="A4174" t="str">
            <v>ORD_000009</v>
          </cell>
        </row>
        <row r="4175">
          <cell r="A4175" t="str">
            <v>ORD_004890</v>
          </cell>
        </row>
        <row r="4176">
          <cell r="A4176" t="str">
            <v>ORD_003914</v>
          </cell>
        </row>
        <row r="4177">
          <cell r="A4177" t="str">
            <v>ORD_001110</v>
          </cell>
        </row>
        <row r="4178">
          <cell r="A4178" t="str">
            <v>ORD_003227</v>
          </cell>
        </row>
        <row r="4179">
          <cell r="A4179" t="str">
            <v>ORD_001196</v>
          </cell>
        </row>
        <row r="4180">
          <cell r="A4180" t="str">
            <v>ORD_001934</v>
          </cell>
        </row>
        <row r="4181">
          <cell r="A4181" t="str">
            <v>ORD_002342</v>
          </cell>
        </row>
        <row r="4182">
          <cell r="A4182" t="str">
            <v>ORD_003859</v>
          </cell>
        </row>
        <row r="4183">
          <cell r="A4183" t="str">
            <v>ORD_002312</v>
          </cell>
        </row>
        <row r="4184">
          <cell r="A4184" t="str">
            <v>ORD_004857</v>
          </cell>
        </row>
        <row r="4185">
          <cell r="A4185" t="str">
            <v>ORD_002226</v>
          </cell>
        </row>
        <row r="4186">
          <cell r="A4186" t="str">
            <v>ORD_003696</v>
          </cell>
        </row>
        <row r="4187">
          <cell r="A4187" t="str">
            <v>ORD_003024</v>
          </cell>
        </row>
        <row r="4188">
          <cell r="A4188" t="str">
            <v>ORD_000004</v>
          </cell>
        </row>
        <row r="4189">
          <cell r="A4189" t="str">
            <v>ORD_004176</v>
          </cell>
        </row>
        <row r="4190">
          <cell r="A4190" t="str">
            <v>ORD_001834</v>
          </cell>
        </row>
        <row r="4191">
          <cell r="A4191" t="str">
            <v>ORD_000651</v>
          </cell>
        </row>
        <row r="4192">
          <cell r="A4192" t="str">
            <v>ORD_002012</v>
          </cell>
        </row>
        <row r="4193">
          <cell r="A4193" t="str">
            <v>ORD_004795</v>
          </cell>
        </row>
        <row r="4194">
          <cell r="A4194" t="str">
            <v>ORD_004814</v>
          </cell>
        </row>
        <row r="4195">
          <cell r="A4195" t="str">
            <v>ORD_003505</v>
          </cell>
        </row>
        <row r="4196">
          <cell r="A4196" t="str">
            <v>ORD_003667</v>
          </cell>
        </row>
        <row r="4197">
          <cell r="A4197" t="str">
            <v>ORD_000012</v>
          </cell>
        </row>
        <row r="4198">
          <cell r="A4198" t="str">
            <v>ORD_003184</v>
          </cell>
        </row>
        <row r="4199">
          <cell r="A4199" t="str">
            <v>ORD_002099</v>
          </cell>
        </row>
        <row r="4200">
          <cell r="A4200" t="str">
            <v>ORD_004737</v>
          </cell>
        </row>
        <row r="4201">
          <cell r="A4201" t="str">
            <v>ORD_000521</v>
          </cell>
        </row>
        <row r="4202">
          <cell r="A4202" t="str">
            <v>ORD_004735</v>
          </cell>
        </row>
        <row r="4203">
          <cell r="A4203" t="str">
            <v>ORD_003625</v>
          </cell>
        </row>
        <row r="4204">
          <cell r="A4204" t="str">
            <v>ORD_000789</v>
          </cell>
        </row>
        <row r="4205">
          <cell r="A4205" t="str">
            <v>ORD_004326</v>
          </cell>
        </row>
        <row r="4206">
          <cell r="A4206" t="str">
            <v>ORD_001103</v>
          </cell>
        </row>
        <row r="4207">
          <cell r="A4207" t="str">
            <v>ORD_001744</v>
          </cell>
        </row>
        <row r="4208">
          <cell r="A4208" t="str">
            <v>ORD_002605</v>
          </cell>
        </row>
        <row r="4209">
          <cell r="A4209" t="str">
            <v>ORD_000489</v>
          </cell>
        </row>
        <row r="4210">
          <cell r="A4210" t="str">
            <v>ORD_001739</v>
          </cell>
        </row>
        <row r="4211">
          <cell r="A4211" t="str">
            <v>ORD_001933</v>
          </cell>
        </row>
        <row r="4212">
          <cell r="A4212" t="str">
            <v>ORD_001838</v>
          </cell>
        </row>
        <row r="4213">
          <cell r="A4213" t="str">
            <v>ORD_001607</v>
          </cell>
        </row>
        <row r="4214">
          <cell r="A4214" t="str">
            <v>ORD_001088</v>
          </cell>
        </row>
        <row r="4215">
          <cell r="A4215" t="str">
            <v>ORD_003414</v>
          </cell>
        </row>
        <row r="4216">
          <cell r="A4216" t="str">
            <v>ORD_000147</v>
          </cell>
        </row>
        <row r="4217">
          <cell r="A4217" t="str">
            <v>ORD_002139</v>
          </cell>
        </row>
        <row r="4218">
          <cell r="A4218" t="str">
            <v>ORD_001452</v>
          </cell>
        </row>
        <row r="4219">
          <cell r="A4219" t="str">
            <v>ORD_003866</v>
          </cell>
        </row>
        <row r="4220">
          <cell r="A4220" t="str">
            <v>ORD_001610</v>
          </cell>
        </row>
        <row r="4221">
          <cell r="A4221" t="str">
            <v>ORD_004118</v>
          </cell>
        </row>
        <row r="4222">
          <cell r="A4222" t="str">
            <v>ORD_004639</v>
          </cell>
        </row>
        <row r="4223">
          <cell r="A4223" t="str">
            <v>ORD_000855</v>
          </cell>
        </row>
        <row r="4224">
          <cell r="A4224" t="str">
            <v>ORD_000946</v>
          </cell>
        </row>
        <row r="4225">
          <cell r="A4225" t="str">
            <v>ORD_003171</v>
          </cell>
        </row>
        <row r="4226">
          <cell r="A4226" t="str">
            <v>ORD_000151</v>
          </cell>
        </row>
        <row r="4227">
          <cell r="A4227" t="str">
            <v>ORD_002016</v>
          </cell>
        </row>
        <row r="4228">
          <cell r="A4228" t="str">
            <v>ORD_000398</v>
          </cell>
        </row>
        <row r="4229">
          <cell r="A4229" t="str">
            <v>ORD_001668</v>
          </cell>
        </row>
        <row r="4230">
          <cell r="A4230" t="str">
            <v>ORD_001649</v>
          </cell>
        </row>
        <row r="4231">
          <cell r="A4231" t="str">
            <v>ORD_003343</v>
          </cell>
        </row>
        <row r="4232">
          <cell r="A4232" t="str">
            <v>ORD_002534</v>
          </cell>
        </row>
        <row r="4233">
          <cell r="A4233" t="str">
            <v>ORD_004912</v>
          </cell>
        </row>
        <row r="4234">
          <cell r="A4234" t="str">
            <v>ORD_001516</v>
          </cell>
        </row>
        <row r="4235">
          <cell r="A4235" t="str">
            <v>ORD_003627</v>
          </cell>
        </row>
        <row r="4236">
          <cell r="A4236" t="str">
            <v>ORD_002082</v>
          </cell>
        </row>
        <row r="4237">
          <cell r="A4237" t="str">
            <v>ORD_001403</v>
          </cell>
        </row>
        <row r="4238">
          <cell r="A4238" t="str">
            <v>ORD_000559</v>
          </cell>
        </row>
        <row r="4239">
          <cell r="A4239" t="str">
            <v>ORD_001697</v>
          </cell>
        </row>
        <row r="4240">
          <cell r="A4240" t="str">
            <v>ORD_000913</v>
          </cell>
        </row>
        <row r="4241">
          <cell r="A4241" t="str">
            <v>ORD_001252</v>
          </cell>
        </row>
        <row r="4242">
          <cell r="A4242" t="str">
            <v>ORD_002661</v>
          </cell>
        </row>
        <row r="4243">
          <cell r="A4243" t="str">
            <v>ORD_004594</v>
          </cell>
        </row>
        <row r="4244">
          <cell r="A4244" t="str">
            <v>ORD_002374</v>
          </cell>
        </row>
        <row r="4245">
          <cell r="A4245" t="str">
            <v>ORD_004448</v>
          </cell>
        </row>
        <row r="4246">
          <cell r="A4246" t="str">
            <v>ORD_000682</v>
          </cell>
        </row>
        <row r="4247">
          <cell r="A4247" t="str">
            <v>ORD_005000</v>
          </cell>
        </row>
        <row r="4248">
          <cell r="A4248" t="str">
            <v>ORD_004757</v>
          </cell>
        </row>
        <row r="4249">
          <cell r="A4249" t="str">
            <v>ORD_003241</v>
          </cell>
        </row>
        <row r="4250">
          <cell r="A4250" t="str">
            <v>ORD_000721</v>
          </cell>
        </row>
        <row r="4251">
          <cell r="A4251" t="str">
            <v>ORD_000752</v>
          </cell>
        </row>
        <row r="4252">
          <cell r="A4252" t="str">
            <v>ORD_004354</v>
          </cell>
        </row>
        <row r="4253">
          <cell r="A4253" t="str">
            <v>ORD_000794</v>
          </cell>
        </row>
        <row r="4254">
          <cell r="A4254" t="str">
            <v>ORD_000448</v>
          </cell>
        </row>
        <row r="4255">
          <cell r="A4255" t="str">
            <v>ORD_004410</v>
          </cell>
        </row>
        <row r="4256">
          <cell r="A4256" t="str">
            <v>ORD_001029</v>
          </cell>
        </row>
        <row r="4257">
          <cell r="A4257" t="str">
            <v>ORD_000188</v>
          </cell>
        </row>
        <row r="4258">
          <cell r="A4258" t="str">
            <v>ORD_001950</v>
          </cell>
        </row>
        <row r="4259">
          <cell r="A4259" t="str">
            <v>ORD_001140</v>
          </cell>
        </row>
        <row r="4260">
          <cell r="A4260" t="str">
            <v>ORD_004605</v>
          </cell>
        </row>
        <row r="4261">
          <cell r="A4261" t="str">
            <v>ORD_004108</v>
          </cell>
        </row>
        <row r="4262">
          <cell r="A4262" t="str">
            <v>ORD_003840</v>
          </cell>
        </row>
        <row r="4263">
          <cell r="A4263" t="str">
            <v>ORD_004209</v>
          </cell>
        </row>
        <row r="4264">
          <cell r="A4264" t="str">
            <v>ORD_002373</v>
          </cell>
        </row>
        <row r="4265">
          <cell r="A4265" t="str">
            <v>ORD_004576</v>
          </cell>
        </row>
        <row r="4266">
          <cell r="A4266" t="str">
            <v>ORD_000361</v>
          </cell>
        </row>
        <row r="4267">
          <cell r="A4267" t="str">
            <v>ORD_002588</v>
          </cell>
        </row>
        <row r="4268">
          <cell r="A4268" t="str">
            <v>ORD_003306</v>
          </cell>
        </row>
        <row r="4269">
          <cell r="A4269" t="str">
            <v>ORD_000849</v>
          </cell>
        </row>
        <row r="4270">
          <cell r="A4270" t="str">
            <v>ORD_000905</v>
          </cell>
        </row>
        <row r="4271">
          <cell r="A4271" t="str">
            <v>ORD_000261</v>
          </cell>
        </row>
        <row r="4272">
          <cell r="A4272" t="str">
            <v>ORD_003359</v>
          </cell>
        </row>
        <row r="4273">
          <cell r="A4273" t="str">
            <v>ORD_003628</v>
          </cell>
        </row>
        <row r="4274">
          <cell r="A4274" t="str">
            <v>ORD_003566</v>
          </cell>
        </row>
        <row r="4275">
          <cell r="A4275" t="str">
            <v>ORD_000923</v>
          </cell>
        </row>
        <row r="4276">
          <cell r="A4276" t="str">
            <v>ORD_003512</v>
          </cell>
        </row>
        <row r="4277">
          <cell r="A4277" t="str">
            <v>ORD_003858</v>
          </cell>
        </row>
        <row r="4278">
          <cell r="A4278" t="str">
            <v>ORD_002035</v>
          </cell>
        </row>
        <row r="4279">
          <cell r="A4279" t="str">
            <v>ORD_000778</v>
          </cell>
        </row>
        <row r="4280">
          <cell r="A4280" t="str">
            <v>ORD_000162</v>
          </cell>
        </row>
        <row r="4281">
          <cell r="A4281" t="str">
            <v>ORD_001676</v>
          </cell>
        </row>
        <row r="4282">
          <cell r="A4282" t="str">
            <v>ORD_002997</v>
          </cell>
        </row>
        <row r="4283">
          <cell r="A4283" t="str">
            <v>ORD_002177</v>
          </cell>
        </row>
        <row r="4284">
          <cell r="A4284" t="str">
            <v>ORD_002050</v>
          </cell>
        </row>
        <row r="4285">
          <cell r="A4285" t="str">
            <v>ORD_001626</v>
          </cell>
        </row>
        <row r="4286">
          <cell r="A4286" t="str">
            <v>ORD_004533</v>
          </cell>
        </row>
        <row r="4287">
          <cell r="A4287" t="str">
            <v>ORD_002548</v>
          </cell>
        </row>
        <row r="4288">
          <cell r="A4288" t="str">
            <v>ORD_003281</v>
          </cell>
        </row>
        <row r="4289">
          <cell r="A4289" t="str">
            <v>ORD_004342</v>
          </cell>
        </row>
        <row r="4290">
          <cell r="A4290" t="str">
            <v>ORD_003215</v>
          </cell>
        </row>
        <row r="4291">
          <cell r="A4291" t="str">
            <v>ORD_001348</v>
          </cell>
        </row>
        <row r="4292">
          <cell r="A4292" t="str">
            <v>ORD_001292</v>
          </cell>
        </row>
        <row r="4293">
          <cell r="A4293" t="str">
            <v>ORD_003463</v>
          </cell>
        </row>
        <row r="4294">
          <cell r="A4294" t="str">
            <v>ORD_003350</v>
          </cell>
        </row>
        <row r="4295">
          <cell r="A4295" t="str">
            <v>ORD_004886</v>
          </cell>
        </row>
        <row r="4296">
          <cell r="A4296" t="str">
            <v>ORD_003793</v>
          </cell>
        </row>
        <row r="4297">
          <cell r="A4297" t="str">
            <v>ORD_001063</v>
          </cell>
        </row>
        <row r="4298">
          <cell r="A4298" t="str">
            <v>ORD_000039</v>
          </cell>
        </row>
        <row r="4299">
          <cell r="A4299" t="str">
            <v>ORD_002461</v>
          </cell>
        </row>
        <row r="4300">
          <cell r="A4300" t="str">
            <v>ORD_001504</v>
          </cell>
        </row>
        <row r="4301">
          <cell r="A4301" t="str">
            <v>ORD_002169</v>
          </cell>
        </row>
        <row r="4302">
          <cell r="A4302" t="str">
            <v>ORD_003656</v>
          </cell>
        </row>
        <row r="4303">
          <cell r="A4303" t="str">
            <v>ORD_004869</v>
          </cell>
        </row>
        <row r="4304">
          <cell r="A4304" t="str">
            <v>ORD_001352</v>
          </cell>
        </row>
        <row r="4305">
          <cell r="A4305" t="str">
            <v>ORD_001323</v>
          </cell>
        </row>
        <row r="4306">
          <cell r="A4306" t="str">
            <v>ORD_003611</v>
          </cell>
        </row>
        <row r="4307">
          <cell r="A4307" t="str">
            <v>ORD_004344</v>
          </cell>
        </row>
        <row r="4308">
          <cell r="A4308" t="str">
            <v>ORD_000901</v>
          </cell>
        </row>
        <row r="4309">
          <cell r="A4309" t="str">
            <v>ORD_002168</v>
          </cell>
        </row>
        <row r="4310">
          <cell r="A4310" t="str">
            <v>ORD_000245</v>
          </cell>
        </row>
        <row r="4311">
          <cell r="A4311" t="str">
            <v>ORD_004427</v>
          </cell>
        </row>
        <row r="4312">
          <cell r="A4312" t="str">
            <v>ORD_001115</v>
          </cell>
        </row>
        <row r="4313">
          <cell r="A4313" t="str">
            <v>ORD_001520</v>
          </cell>
        </row>
        <row r="4314">
          <cell r="A4314" t="str">
            <v>ORD_002179</v>
          </cell>
        </row>
        <row r="4315">
          <cell r="A4315" t="str">
            <v>ORD_002899</v>
          </cell>
        </row>
        <row r="4316">
          <cell r="A4316" t="str">
            <v>ORD_003924</v>
          </cell>
        </row>
        <row r="4317">
          <cell r="A4317" t="str">
            <v>ORD_004314</v>
          </cell>
        </row>
        <row r="4318">
          <cell r="A4318" t="str">
            <v>ORD_003356</v>
          </cell>
        </row>
        <row r="4319">
          <cell r="A4319" t="str">
            <v>ORD_001999</v>
          </cell>
        </row>
        <row r="4320">
          <cell r="A4320" t="str">
            <v>ORD_003691</v>
          </cell>
        </row>
        <row r="4321">
          <cell r="A4321" t="str">
            <v>ORD_001198</v>
          </cell>
        </row>
        <row r="4322">
          <cell r="A4322" t="str">
            <v>ORD_001435</v>
          </cell>
        </row>
        <row r="4323">
          <cell r="A4323" t="str">
            <v>ORD_000048</v>
          </cell>
        </row>
        <row r="4324">
          <cell r="A4324" t="str">
            <v>ORD_002689</v>
          </cell>
        </row>
        <row r="4325">
          <cell r="A4325" t="str">
            <v>ORD_001291</v>
          </cell>
        </row>
        <row r="4326">
          <cell r="A4326" t="str">
            <v>ORD_002420</v>
          </cell>
        </row>
        <row r="4327">
          <cell r="A4327" t="str">
            <v>ORD_004712</v>
          </cell>
        </row>
        <row r="4328">
          <cell r="A4328" t="str">
            <v>ORD_004669</v>
          </cell>
        </row>
        <row r="4329">
          <cell r="A4329" t="str">
            <v>ORD_001105</v>
          </cell>
        </row>
        <row r="4330">
          <cell r="A4330" t="str">
            <v>ORD_000218</v>
          </cell>
        </row>
        <row r="4331">
          <cell r="A4331" t="str">
            <v>ORD_002928</v>
          </cell>
        </row>
        <row r="4332">
          <cell r="A4332" t="str">
            <v>ORD_004493</v>
          </cell>
        </row>
        <row r="4333">
          <cell r="A4333" t="str">
            <v>ORD_000204</v>
          </cell>
        </row>
        <row r="4334">
          <cell r="A4334" t="str">
            <v>ORD_001974</v>
          </cell>
        </row>
        <row r="4335">
          <cell r="A4335" t="str">
            <v>ORD_003720</v>
          </cell>
        </row>
        <row r="4336">
          <cell r="A4336" t="str">
            <v>ORD_000842</v>
          </cell>
        </row>
        <row r="4337">
          <cell r="A4337" t="str">
            <v>ORD_001285</v>
          </cell>
        </row>
        <row r="4338">
          <cell r="A4338" t="str">
            <v>ORD_001795</v>
          </cell>
        </row>
        <row r="4339">
          <cell r="A4339" t="str">
            <v>ORD_002075</v>
          </cell>
        </row>
        <row r="4340">
          <cell r="A4340" t="str">
            <v>ORD_003483</v>
          </cell>
        </row>
        <row r="4341">
          <cell r="A4341" t="str">
            <v>ORD_002981</v>
          </cell>
        </row>
        <row r="4342">
          <cell r="A4342" t="str">
            <v>ORD_002965</v>
          </cell>
        </row>
        <row r="4343">
          <cell r="A4343" t="str">
            <v>ORD_001175</v>
          </cell>
        </row>
        <row r="4344">
          <cell r="A4344" t="str">
            <v>ORD_002073</v>
          </cell>
        </row>
        <row r="4345">
          <cell r="A4345" t="str">
            <v>ORD_000247</v>
          </cell>
        </row>
        <row r="4346">
          <cell r="A4346" t="str">
            <v>ORD_002858</v>
          </cell>
        </row>
        <row r="4347">
          <cell r="A4347" t="str">
            <v>ORD_001982</v>
          </cell>
        </row>
        <row r="4348">
          <cell r="A4348" t="str">
            <v>ORD_004328</v>
          </cell>
        </row>
        <row r="4349">
          <cell r="A4349" t="str">
            <v>ORD_002348</v>
          </cell>
        </row>
        <row r="4350">
          <cell r="A4350" t="str">
            <v>ORD_004688</v>
          </cell>
        </row>
        <row r="4351">
          <cell r="A4351" t="str">
            <v>ORD_003433</v>
          </cell>
        </row>
        <row r="4352">
          <cell r="A4352" t="str">
            <v>ORD_001628</v>
          </cell>
        </row>
        <row r="4353">
          <cell r="A4353" t="str">
            <v>ORD_000799</v>
          </cell>
        </row>
        <row r="4354">
          <cell r="A4354" t="str">
            <v>ORD_002327</v>
          </cell>
        </row>
        <row r="4355">
          <cell r="A4355" t="str">
            <v>ORD_003490</v>
          </cell>
        </row>
        <row r="4356">
          <cell r="A4356" t="str">
            <v>ORD_000941</v>
          </cell>
        </row>
        <row r="4357">
          <cell r="A4357" t="str">
            <v>ORD_003876</v>
          </cell>
        </row>
        <row r="4358">
          <cell r="A4358" t="str">
            <v>ORD_001901</v>
          </cell>
        </row>
        <row r="4359">
          <cell r="A4359" t="str">
            <v>ORD_002778</v>
          </cell>
        </row>
        <row r="4360">
          <cell r="A4360" t="str">
            <v>ORD_004444</v>
          </cell>
        </row>
        <row r="4361">
          <cell r="A4361" t="str">
            <v>ORD_000121</v>
          </cell>
        </row>
        <row r="4362">
          <cell r="A4362" t="str">
            <v>ORD_000190</v>
          </cell>
        </row>
        <row r="4363">
          <cell r="A4363" t="str">
            <v>ORD_004041</v>
          </cell>
        </row>
        <row r="4364">
          <cell r="A4364" t="str">
            <v>ORD_002800</v>
          </cell>
        </row>
        <row r="4365">
          <cell r="A4365" t="str">
            <v>ORD_003431</v>
          </cell>
        </row>
        <row r="4366">
          <cell r="A4366" t="str">
            <v>ORD_002391</v>
          </cell>
        </row>
        <row r="4367">
          <cell r="A4367" t="str">
            <v>ORD_004094</v>
          </cell>
        </row>
        <row r="4368">
          <cell r="A4368" t="str">
            <v>ORD_003221</v>
          </cell>
        </row>
        <row r="4369">
          <cell r="A4369" t="str">
            <v>ORD_000735</v>
          </cell>
        </row>
        <row r="4370">
          <cell r="A4370" t="str">
            <v>ORD_004947</v>
          </cell>
        </row>
        <row r="4371">
          <cell r="A4371" t="str">
            <v>ORD_002853</v>
          </cell>
        </row>
        <row r="4372">
          <cell r="A4372" t="str">
            <v>ORD_003329</v>
          </cell>
        </row>
        <row r="4373">
          <cell r="A4373" t="str">
            <v>ORD_002358</v>
          </cell>
        </row>
        <row r="4374">
          <cell r="A4374" t="str">
            <v>ORD_003202</v>
          </cell>
        </row>
        <row r="4375">
          <cell r="A4375" t="str">
            <v>ORD_000516</v>
          </cell>
        </row>
        <row r="4376">
          <cell r="A4376" t="str">
            <v>ORD_002339</v>
          </cell>
        </row>
        <row r="4377">
          <cell r="A4377" t="str">
            <v>ORD_000836</v>
          </cell>
        </row>
        <row r="4378">
          <cell r="A4378" t="str">
            <v>ORD_003136</v>
          </cell>
        </row>
        <row r="4379">
          <cell r="A4379" t="str">
            <v>ORD_004763</v>
          </cell>
        </row>
        <row r="4380">
          <cell r="A4380" t="str">
            <v>ORD_004960</v>
          </cell>
        </row>
        <row r="4381">
          <cell r="A4381" t="str">
            <v>ORD_004671</v>
          </cell>
        </row>
        <row r="4382">
          <cell r="A4382" t="str">
            <v>ORD_000754</v>
          </cell>
        </row>
        <row r="4383">
          <cell r="A4383" t="str">
            <v>ORD_004327</v>
          </cell>
        </row>
        <row r="4384">
          <cell r="A4384" t="str">
            <v>ORD_003526</v>
          </cell>
        </row>
        <row r="4385">
          <cell r="A4385" t="str">
            <v>ORD_004864</v>
          </cell>
        </row>
        <row r="4386">
          <cell r="A4386" t="str">
            <v>ORD_003119</v>
          </cell>
        </row>
        <row r="4387">
          <cell r="A4387" t="str">
            <v>ORD_003899</v>
          </cell>
        </row>
        <row r="4388">
          <cell r="A4388" t="str">
            <v>ORD_000081</v>
          </cell>
        </row>
        <row r="4389">
          <cell r="A4389" t="str">
            <v>ORD_002545</v>
          </cell>
        </row>
        <row r="4390">
          <cell r="A4390" t="str">
            <v>ORD_000971</v>
          </cell>
        </row>
        <row r="4391">
          <cell r="A4391" t="str">
            <v>ORD_001409</v>
          </cell>
        </row>
        <row r="4392">
          <cell r="A4392" t="str">
            <v>ORD_001332</v>
          </cell>
        </row>
        <row r="4393">
          <cell r="A4393" t="str">
            <v>ORD_002173</v>
          </cell>
        </row>
        <row r="4394">
          <cell r="A4394" t="str">
            <v>ORD_004788</v>
          </cell>
        </row>
        <row r="4395">
          <cell r="A4395" t="str">
            <v>ORD_003159</v>
          </cell>
        </row>
        <row r="4396">
          <cell r="A4396" t="str">
            <v>ORD_000609</v>
          </cell>
        </row>
        <row r="4397">
          <cell r="A4397" t="str">
            <v>ORD_004129</v>
          </cell>
        </row>
        <row r="4398">
          <cell r="A4398" t="str">
            <v>ORD_002263</v>
          </cell>
        </row>
        <row r="4399">
          <cell r="A4399" t="str">
            <v>ORD_003880</v>
          </cell>
        </row>
        <row r="4400">
          <cell r="A4400" t="str">
            <v>ORD_004843</v>
          </cell>
        </row>
        <row r="4401">
          <cell r="A4401" t="str">
            <v>ORD_001013</v>
          </cell>
        </row>
        <row r="4402">
          <cell r="A4402" t="str">
            <v>ORD_002710</v>
          </cell>
        </row>
        <row r="4403">
          <cell r="A4403" t="str">
            <v>ORD_004459</v>
          </cell>
        </row>
        <row r="4404">
          <cell r="A4404" t="str">
            <v>ORD_004336</v>
          </cell>
        </row>
        <row r="4405">
          <cell r="A4405" t="str">
            <v>ORD_001804</v>
          </cell>
        </row>
        <row r="4406">
          <cell r="A4406" t="str">
            <v>ORD_003093</v>
          </cell>
        </row>
        <row r="4407">
          <cell r="A4407" t="str">
            <v>ORD_003071</v>
          </cell>
        </row>
        <row r="4408">
          <cell r="A4408" t="str">
            <v>ORD_004574</v>
          </cell>
        </row>
        <row r="4409">
          <cell r="A4409" t="str">
            <v>ORD_001448</v>
          </cell>
        </row>
        <row r="4410">
          <cell r="A4410" t="str">
            <v>ORD_002570</v>
          </cell>
        </row>
        <row r="4411">
          <cell r="A4411" t="str">
            <v>ORD_003058</v>
          </cell>
        </row>
        <row r="4412">
          <cell r="A4412" t="str">
            <v>ORD_004368</v>
          </cell>
        </row>
        <row r="4413">
          <cell r="A4413" t="str">
            <v>ORD_000122</v>
          </cell>
        </row>
        <row r="4414">
          <cell r="A4414" t="str">
            <v>ORD_003639</v>
          </cell>
        </row>
        <row r="4415">
          <cell r="A4415" t="str">
            <v>ORD_002479</v>
          </cell>
        </row>
        <row r="4416">
          <cell r="A4416" t="str">
            <v>ORD_002028</v>
          </cell>
        </row>
        <row r="4417">
          <cell r="A4417" t="str">
            <v>ORD_001614</v>
          </cell>
        </row>
        <row r="4418">
          <cell r="A4418" t="str">
            <v>ORD_003514</v>
          </cell>
        </row>
        <row r="4419">
          <cell r="A4419" t="str">
            <v>ORD_001182</v>
          </cell>
        </row>
        <row r="4420">
          <cell r="A4420" t="str">
            <v>ORD_002152</v>
          </cell>
        </row>
        <row r="4421">
          <cell r="A4421" t="str">
            <v>ORD_004865</v>
          </cell>
        </row>
        <row r="4422">
          <cell r="A4422" t="str">
            <v>ORD_000800</v>
          </cell>
        </row>
        <row r="4423">
          <cell r="A4423" t="str">
            <v>ORD_000756</v>
          </cell>
        </row>
        <row r="4424">
          <cell r="A4424" t="str">
            <v>ORD_002393</v>
          </cell>
        </row>
        <row r="4425">
          <cell r="A4425" t="str">
            <v>ORD_003952</v>
          </cell>
        </row>
        <row r="4426">
          <cell r="A4426" t="str">
            <v>ORD_002675</v>
          </cell>
        </row>
        <row r="4427">
          <cell r="A4427" t="str">
            <v>ORD_002143</v>
          </cell>
        </row>
        <row r="4428">
          <cell r="A4428" t="str">
            <v>ORD_001842</v>
          </cell>
        </row>
        <row r="4429">
          <cell r="A4429" t="str">
            <v>ORD_004626</v>
          </cell>
        </row>
        <row r="4430">
          <cell r="A4430" t="str">
            <v>ORD_000949</v>
          </cell>
        </row>
        <row r="4431">
          <cell r="A4431" t="str">
            <v>ORD_002559</v>
          </cell>
        </row>
        <row r="4432">
          <cell r="A4432" t="str">
            <v>ORD_000221</v>
          </cell>
        </row>
        <row r="4433">
          <cell r="A4433" t="str">
            <v>ORD_001606</v>
          </cell>
        </row>
        <row r="4434">
          <cell r="A4434" t="str">
            <v>ORD_000554</v>
          </cell>
        </row>
        <row r="4435">
          <cell r="A4435" t="str">
            <v>ORD_000920</v>
          </cell>
        </row>
        <row r="4436">
          <cell r="A4436" t="str">
            <v>ORD_004758</v>
          </cell>
        </row>
        <row r="4437">
          <cell r="A4437" t="str">
            <v>ORD_002795</v>
          </cell>
        </row>
        <row r="4438">
          <cell r="A4438" t="str">
            <v>ORD_004323</v>
          </cell>
        </row>
        <row r="4439">
          <cell r="A4439" t="str">
            <v>ORD_004946</v>
          </cell>
        </row>
        <row r="4440">
          <cell r="A4440" t="str">
            <v>ORD_002594</v>
          </cell>
        </row>
        <row r="4441">
          <cell r="A4441" t="str">
            <v>ORD_003057</v>
          </cell>
        </row>
        <row r="4442">
          <cell r="A4442" t="str">
            <v>ORD_004025</v>
          </cell>
        </row>
        <row r="4443">
          <cell r="A4443" t="str">
            <v>ORD_000980</v>
          </cell>
        </row>
        <row r="4444">
          <cell r="A4444" t="str">
            <v>ORD_000572</v>
          </cell>
        </row>
        <row r="4445">
          <cell r="A4445" t="str">
            <v>ORD_002669</v>
          </cell>
        </row>
        <row r="4446">
          <cell r="A4446" t="str">
            <v>ORD_003976</v>
          </cell>
        </row>
        <row r="4447">
          <cell r="A4447" t="str">
            <v>ORD_004750</v>
          </cell>
        </row>
        <row r="4448">
          <cell r="A4448" t="str">
            <v>ORD_001486</v>
          </cell>
        </row>
        <row r="4449">
          <cell r="A4449" t="str">
            <v>ORD_000384</v>
          </cell>
        </row>
        <row r="4450">
          <cell r="A4450" t="str">
            <v>ORD_001853</v>
          </cell>
        </row>
        <row r="4451">
          <cell r="A4451" t="str">
            <v>ORD_003911</v>
          </cell>
        </row>
        <row r="4452">
          <cell r="A4452" t="str">
            <v>ORD_000378</v>
          </cell>
        </row>
        <row r="4453">
          <cell r="A4453" t="str">
            <v>ORD_004150</v>
          </cell>
        </row>
        <row r="4454">
          <cell r="A4454" t="str">
            <v>ORD_002382</v>
          </cell>
        </row>
        <row r="4455">
          <cell r="A4455" t="str">
            <v>ORD_004385</v>
          </cell>
        </row>
        <row r="4456">
          <cell r="A4456" t="str">
            <v>ORD_002375</v>
          </cell>
        </row>
        <row r="4457">
          <cell r="A4457" t="str">
            <v>ORD_003811</v>
          </cell>
        </row>
        <row r="4458">
          <cell r="A4458" t="str">
            <v>ORD_004498</v>
          </cell>
        </row>
        <row r="4459">
          <cell r="A4459" t="str">
            <v>ORD_003885</v>
          </cell>
        </row>
        <row r="4460">
          <cell r="A4460" t="str">
            <v>ORD_003944</v>
          </cell>
        </row>
        <row r="4461">
          <cell r="A4461" t="str">
            <v>ORD_000377</v>
          </cell>
        </row>
        <row r="4462">
          <cell r="A4462" t="str">
            <v>ORD_004855</v>
          </cell>
        </row>
        <row r="4463">
          <cell r="A4463" t="str">
            <v>ORD_004644</v>
          </cell>
        </row>
        <row r="4464">
          <cell r="A4464" t="str">
            <v>ORD_000309</v>
          </cell>
        </row>
        <row r="4465">
          <cell r="A4465" t="str">
            <v>ORD_000632</v>
          </cell>
        </row>
        <row r="4466">
          <cell r="A4466" t="str">
            <v>ORD_003556</v>
          </cell>
        </row>
        <row r="4467">
          <cell r="A4467" t="str">
            <v>ORD_000695</v>
          </cell>
        </row>
        <row r="4468">
          <cell r="A4468" t="str">
            <v>ORD_004411</v>
          </cell>
        </row>
        <row r="4469">
          <cell r="A4469" t="str">
            <v>ORD_002522</v>
          </cell>
        </row>
        <row r="4470">
          <cell r="A4470" t="str">
            <v>ORD_004031</v>
          </cell>
        </row>
        <row r="4471">
          <cell r="A4471" t="str">
            <v>ORD_001654</v>
          </cell>
        </row>
        <row r="4472">
          <cell r="A4472" t="str">
            <v>ORD_001790</v>
          </cell>
        </row>
        <row r="4473">
          <cell r="A4473" t="str">
            <v>ORD_001786</v>
          </cell>
        </row>
        <row r="4474">
          <cell r="A4474" t="str">
            <v>ORD_002537</v>
          </cell>
        </row>
        <row r="4475">
          <cell r="A4475" t="str">
            <v>ORD_003362</v>
          </cell>
        </row>
        <row r="4476">
          <cell r="A4476" t="str">
            <v>ORD_003238</v>
          </cell>
        </row>
        <row r="4477">
          <cell r="A4477" t="str">
            <v>ORD_002336</v>
          </cell>
        </row>
        <row r="4478">
          <cell r="A4478" t="str">
            <v>ORD_001230</v>
          </cell>
        </row>
        <row r="4479">
          <cell r="A4479" t="str">
            <v>ORD_001639</v>
          </cell>
        </row>
        <row r="4480">
          <cell r="A4480" t="str">
            <v>ORD_000582</v>
          </cell>
        </row>
        <row r="4481">
          <cell r="A4481" t="str">
            <v>ORD_004490</v>
          </cell>
        </row>
        <row r="4482">
          <cell r="A4482" t="str">
            <v>ORD_001414</v>
          </cell>
        </row>
        <row r="4483">
          <cell r="A4483" t="str">
            <v>ORD_001825</v>
          </cell>
        </row>
        <row r="4484">
          <cell r="A4484" t="str">
            <v>ORD_001806</v>
          </cell>
        </row>
        <row r="4485">
          <cell r="A4485" t="str">
            <v>ORD_002268</v>
          </cell>
        </row>
        <row r="4486">
          <cell r="A4486" t="str">
            <v>ORD_004085</v>
          </cell>
        </row>
        <row r="4487">
          <cell r="A4487" t="str">
            <v>ORD_002757</v>
          </cell>
        </row>
        <row r="4488">
          <cell r="A4488" t="str">
            <v>ORD_004070</v>
          </cell>
        </row>
        <row r="4489">
          <cell r="A4489" t="str">
            <v>ORD_001410</v>
          </cell>
        </row>
        <row r="4490">
          <cell r="A4490" t="str">
            <v>ORD_001179</v>
          </cell>
        </row>
        <row r="4491">
          <cell r="A4491" t="str">
            <v>ORD_001824</v>
          </cell>
        </row>
        <row r="4492">
          <cell r="A4492" t="str">
            <v>ORD_004681</v>
          </cell>
        </row>
        <row r="4493">
          <cell r="A4493" t="str">
            <v>ORD_003861</v>
          </cell>
        </row>
        <row r="4494">
          <cell r="A4494" t="str">
            <v>ORD_001688</v>
          </cell>
        </row>
        <row r="4495">
          <cell r="A4495" t="str">
            <v>ORD_003277</v>
          </cell>
        </row>
        <row r="4496">
          <cell r="A4496" t="str">
            <v>ORD_002451</v>
          </cell>
        </row>
        <row r="4497">
          <cell r="A4497" t="str">
            <v>ORD_001071</v>
          </cell>
        </row>
        <row r="4498">
          <cell r="A4498" t="str">
            <v>ORD_001231</v>
          </cell>
        </row>
        <row r="4499">
          <cell r="A4499" t="str">
            <v>ORD_002652</v>
          </cell>
        </row>
        <row r="4500">
          <cell r="A4500" t="str">
            <v>ORD_002754</v>
          </cell>
        </row>
        <row r="4501">
          <cell r="A4501" t="str">
            <v>ORD_001544</v>
          </cell>
        </row>
        <row r="4502">
          <cell r="A4502" t="str">
            <v>ORD_001249</v>
          </cell>
        </row>
        <row r="4503">
          <cell r="A4503" t="str">
            <v>ORD_002305</v>
          </cell>
        </row>
        <row r="4504">
          <cell r="A4504" t="str">
            <v>ORD_002576</v>
          </cell>
        </row>
        <row r="4505">
          <cell r="A4505" t="str">
            <v>ORD_004613</v>
          </cell>
        </row>
        <row r="4506">
          <cell r="A4506" t="str">
            <v>ORD_001459</v>
          </cell>
        </row>
        <row r="4507">
          <cell r="A4507" t="str">
            <v>ORD_000169</v>
          </cell>
        </row>
        <row r="4508">
          <cell r="A4508" t="str">
            <v>ORD_002225</v>
          </cell>
        </row>
        <row r="4509">
          <cell r="A4509" t="str">
            <v>ORD_002488</v>
          </cell>
        </row>
        <row r="4510">
          <cell r="A4510" t="str">
            <v>ORD_004645</v>
          </cell>
        </row>
        <row r="4511">
          <cell r="A4511" t="str">
            <v>ORD_002748</v>
          </cell>
        </row>
        <row r="4512">
          <cell r="A4512" t="str">
            <v>ORD_002993</v>
          </cell>
        </row>
        <row r="4513">
          <cell r="A4513" t="str">
            <v>ORD_000707</v>
          </cell>
        </row>
        <row r="4514">
          <cell r="A4514" t="str">
            <v>ORD_001894</v>
          </cell>
        </row>
        <row r="4515">
          <cell r="A4515" t="str">
            <v>ORD_004442</v>
          </cell>
        </row>
        <row r="4516">
          <cell r="A4516" t="str">
            <v>ORD_000708</v>
          </cell>
        </row>
        <row r="4517">
          <cell r="A4517" t="str">
            <v>ORD_001532</v>
          </cell>
        </row>
        <row r="4518">
          <cell r="A4518" t="str">
            <v>ORD_003701</v>
          </cell>
        </row>
        <row r="4519">
          <cell r="A4519" t="str">
            <v>ORD_004056</v>
          </cell>
        </row>
        <row r="4520">
          <cell r="A4520" t="str">
            <v>ORD_004212</v>
          </cell>
        </row>
        <row r="4521">
          <cell r="A4521" t="str">
            <v>ORD_004471</v>
          </cell>
        </row>
        <row r="4522">
          <cell r="A4522" t="str">
            <v>ORD_000544</v>
          </cell>
        </row>
        <row r="4523">
          <cell r="A4523" t="str">
            <v>ORD_003775</v>
          </cell>
        </row>
        <row r="4524">
          <cell r="A4524" t="str">
            <v>ORD_003147</v>
          </cell>
        </row>
        <row r="4525">
          <cell r="A4525" t="str">
            <v>ORD_004870</v>
          </cell>
        </row>
        <row r="4526">
          <cell r="A4526" t="str">
            <v>ORD_000978</v>
          </cell>
        </row>
        <row r="4527">
          <cell r="A4527" t="str">
            <v>ORD_004313</v>
          </cell>
        </row>
        <row r="4528">
          <cell r="A4528" t="str">
            <v>ORD_004110</v>
          </cell>
        </row>
        <row r="4529">
          <cell r="A4529" t="str">
            <v>ORD_000597</v>
          </cell>
        </row>
        <row r="4530">
          <cell r="A4530" t="str">
            <v>ORD_002198</v>
          </cell>
        </row>
        <row r="4531">
          <cell r="A4531" t="str">
            <v>ORD_004057</v>
          </cell>
        </row>
        <row r="4532">
          <cell r="A4532" t="str">
            <v>ORD_003047</v>
          </cell>
        </row>
        <row r="4533">
          <cell r="A4533" t="str">
            <v>ORD_001044</v>
          </cell>
        </row>
        <row r="4534">
          <cell r="A4534" t="str">
            <v>ORD_001815</v>
          </cell>
        </row>
        <row r="4535">
          <cell r="A4535" t="str">
            <v>ORD_000871</v>
          </cell>
        </row>
        <row r="4536">
          <cell r="A4536" t="str">
            <v>ORD_004187</v>
          </cell>
        </row>
        <row r="4537">
          <cell r="A4537" t="str">
            <v>ORD_004049</v>
          </cell>
        </row>
        <row r="4538">
          <cell r="A4538" t="str">
            <v>ORD_002614</v>
          </cell>
        </row>
        <row r="4539">
          <cell r="A4539" t="str">
            <v>ORD_003902</v>
          </cell>
        </row>
        <row r="4540">
          <cell r="A4540" t="str">
            <v>ORD_004247</v>
          </cell>
        </row>
        <row r="4541">
          <cell r="A4541" t="str">
            <v>ORD_001615</v>
          </cell>
        </row>
        <row r="4542">
          <cell r="A4542" t="str">
            <v>ORD_000564</v>
          </cell>
        </row>
        <row r="4543">
          <cell r="A4543" t="str">
            <v>ORD_004174</v>
          </cell>
        </row>
        <row r="4544">
          <cell r="A4544" t="str">
            <v>ORD_002601</v>
          </cell>
        </row>
        <row r="4545">
          <cell r="A4545" t="str">
            <v>ORD_001367</v>
          </cell>
        </row>
        <row r="4546">
          <cell r="A4546" t="str">
            <v>ORD_000333</v>
          </cell>
        </row>
        <row r="4547">
          <cell r="A4547" t="str">
            <v>ORD_004216</v>
          </cell>
        </row>
        <row r="4548">
          <cell r="A4548" t="str">
            <v>ORD_000858</v>
          </cell>
        </row>
        <row r="4549">
          <cell r="A4549" t="str">
            <v>ORD_002120</v>
          </cell>
        </row>
        <row r="4550">
          <cell r="A4550" t="str">
            <v>ORD_002401</v>
          </cell>
        </row>
        <row r="4551">
          <cell r="A4551" t="str">
            <v>ORD_000574</v>
          </cell>
        </row>
        <row r="4552">
          <cell r="A4552" t="str">
            <v>ORD_002660</v>
          </cell>
        </row>
        <row r="4553">
          <cell r="A4553" t="str">
            <v>ORD_001618</v>
          </cell>
        </row>
        <row r="4554">
          <cell r="A4554" t="str">
            <v>ORD_002617</v>
          </cell>
        </row>
        <row r="4555">
          <cell r="A4555" t="str">
            <v>ORD_000771</v>
          </cell>
        </row>
        <row r="4556">
          <cell r="A4556" t="str">
            <v>ORD_003352</v>
          </cell>
        </row>
        <row r="4557">
          <cell r="A4557" t="str">
            <v>ORD_004933</v>
          </cell>
        </row>
        <row r="4558">
          <cell r="A4558" t="str">
            <v>ORD_003610</v>
          </cell>
        </row>
        <row r="4559">
          <cell r="A4559" t="str">
            <v>ORD_004812</v>
          </cell>
        </row>
        <row r="4560">
          <cell r="A4560" t="str">
            <v>ORD_003160</v>
          </cell>
        </row>
        <row r="4561">
          <cell r="A4561" t="str">
            <v>ORD_003124</v>
          </cell>
        </row>
        <row r="4562">
          <cell r="A4562" t="str">
            <v>ORD_003653</v>
          </cell>
        </row>
        <row r="4563">
          <cell r="A4563" t="str">
            <v>ORD_001235</v>
          </cell>
        </row>
        <row r="4564">
          <cell r="A4564" t="str">
            <v>ORD_001684</v>
          </cell>
        </row>
        <row r="4565">
          <cell r="A4565" t="str">
            <v>ORD_001671</v>
          </cell>
        </row>
        <row r="4566">
          <cell r="A4566" t="str">
            <v>ORD_000760</v>
          </cell>
        </row>
        <row r="4567">
          <cell r="A4567" t="str">
            <v>ORD_004834</v>
          </cell>
        </row>
        <row r="4568">
          <cell r="A4568" t="str">
            <v>ORD_001566</v>
          </cell>
        </row>
        <row r="4569">
          <cell r="A4569" t="str">
            <v>ORD_003997</v>
          </cell>
        </row>
        <row r="4570">
          <cell r="A4570" t="str">
            <v>ORD_002765</v>
          </cell>
        </row>
        <row r="4571">
          <cell r="A4571" t="str">
            <v>ORD_003010</v>
          </cell>
        </row>
        <row r="4572">
          <cell r="A4572" t="str">
            <v>ORD_004389</v>
          </cell>
        </row>
        <row r="4573">
          <cell r="A4573" t="str">
            <v>ORD_000647</v>
          </cell>
        </row>
        <row r="4574">
          <cell r="A4574" t="str">
            <v>ORD_000127</v>
          </cell>
        </row>
        <row r="4575">
          <cell r="A4575" t="str">
            <v>ORD_002872</v>
          </cell>
        </row>
        <row r="4576">
          <cell r="A4576" t="str">
            <v>ORD_000976</v>
          </cell>
        </row>
        <row r="4577">
          <cell r="A4577" t="str">
            <v>ORD_002094</v>
          </cell>
        </row>
      </sheetData>
      <sheetData sheetId="11"/>
      <sheetData sheetId="12"/>
      <sheetData sheetId="13"/>
      <sheetData sheetId="14"/>
      <sheetData sheetId="15"/>
      <sheetData sheetId="16"/>
      <sheetData sheetId="17"/>
      <sheetData sheetId="18"/>
      <sheetData sheetId="19"/>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oonhi Hazarika" refreshedDate="46016.789779861108" createdVersion="8" refreshedVersion="8" minRefreshableVersion="3" recordCount="100" xr:uid="{D6126C9F-7757-4498-80B9-E6B015085CE6}">
  <cacheSource type="worksheet">
    <worksheetSource ref="A1:W101" sheet="Task1"/>
  </cacheSource>
  <cacheFields count="26">
    <cacheField name="Order count" numFmtId="0">
      <sharedItems containsSemiMixedTypes="0" containsString="0" containsNumber="1" containsInteger="1" minValue="1" maxValue="1"/>
    </cacheField>
    <cacheField name="Order ID" numFmtId="0">
      <sharedItems/>
    </cacheField>
    <cacheField name="Order Date" numFmtId="14">
      <sharedItems containsSemiMixedTypes="0" containsNonDate="0" containsDate="1" containsString="0" minDate="2023-01-04T00:00:00" maxDate="2024-01-01T00:00:00"/>
    </cacheField>
    <cacheField name="Delivery Date" numFmtId="14">
      <sharedItems containsNonDate="0" containsDate="1" containsString="0" containsBlank="1" minDate="2023-01-09T00:00:00" maxDate="2024-01-02T00:00:00"/>
    </cacheField>
    <cacheField name="Cancel Date" numFmtId="14">
      <sharedItems containsNonDate="0" containsDate="1" containsString="0" containsBlank="1" minDate="2023-01-24T00:00:00" maxDate="2024-02-02T00:00:00"/>
    </cacheField>
    <cacheField name="Customer ID" numFmtId="0">
      <sharedItems/>
    </cacheField>
    <cacheField name="Product ID" numFmtId="0">
      <sharedItems/>
    </cacheField>
    <cacheField name="Product Category" numFmtId="0">
      <sharedItems/>
    </cacheField>
    <cacheField name="Product Name" numFmtId="0">
      <sharedItems/>
    </cacheField>
    <cacheField name="Region" numFmtId="0">
      <sharedItems count="5">
        <s v="North"/>
        <s v="East"/>
        <s v="South"/>
        <s v="Central"/>
        <s v="West"/>
      </sharedItems>
    </cacheField>
    <cacheField name="Sale Price/Unit" numFmtId="0">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0">
      <sharedItems containsSemiMixedTypes="0" containsString="0" containsNumber="1" containsInteger="1" minValue="21" maxValue="3260"/>
    </cacheField>
    <cacheField name="Payment Method" numFmtId="0">
      <sharedItems/>
    </cacheField>
    <cacheField name="Delivery Status" numFmtId="0">
      <sharedItems/>
    </cacheField>
    <cacheField name="Fulfillment Partner" numFmtId="0">
      <sharedItems/>
    </cacheField>
    <cacheField name="Order Status" numFmtId="0">
      <sharedItems/>
    </cacheField>
    <cacheField name="Delivery Time" numFmtId="0">
      <sharedItems containsString="0" containsBlank="1" containsNumber="1" containsInteger="1" minValue="1" maxValue="38"/>
    </cacheField>
    <cacheField name="Cancelled" numFmtId="0">
      <sharedItems containsSemiMixedTypes="0" containsString="0" containsNumber="1" containsInteger="1" minValue="0" maxValue="1"/>
    </cacheField>
    <cacheField name="Delivered" numFmtId="0">
      <sharedItems containsSemiMixedTypes="0" containsString="0" containsNumber="1" containsInteger="1" minValue="0" maxValue="1"/>
    </cacheField>
    <cacheField name="Delivered sales Amount" numFmtId="0">
      <sharedItems containsSemiMixedTypes="0" containsString="0" containsNumber="1" containsInteger="1" minValue="0" maxValue="3260"/>
    </cacheField>
    <cacheField name="Delivery performance" numFmtId="0">
      <sharedItems/>
    </cacheField>
    <cacheField name="Fast delivery" numFmtId="0">
      <sharedItems containsSemiMixedTypes="0" containsString="0" containsNumber="1" containsInteger="1" minValue="0" maxValue="1"/>
    </cacheField>
    <cacheField name="Fast delivery rate" numFmtId="0" formula="'Fast delivery'/Delivered" databaseField="0"/>
    <cacheField name="Pending" numFmtId="0" formula="#NAME? -#NAME? -#NAME?" databaseField="0"/>
    <cacheField name="Cancellation%" numFmtId="0" formula="#NAME? /#NAME?" databaseField="0"/>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oonhi Hazarika" refreshedDate="46016.938509490741" createdVersion="8" refreshedVersion="8" minRefreshableVersion="3" recordCount="100" xr:uid="{9525A34E-EE4D-41E2-A7B9-BF2411A0451C}">
  <cacheSource type="worksheet">
    <worksheetSource name="AmazonSales"/>
  </cacheSource>
  <cacheFields count="28">
    <cacheField name="Order count" numFmtId="0">
      <sharedItems containsSemiMixedTypes="0" containsString="0" containsNumber="1" containsInteger="1" minValue="1" maxValue="1"/>
    </cacheField>
    <cacheField name="Order ID" numFmtId="0">
      <sharedItems count="100">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haredItems>
    </cacheField>
    <cacheField name="Order Date" numFmtId="14">
      <sharedItems containsSemiMixedTypes="0" containsNonDate="0" containsDate="1" containsString="0" minDate="2023-01-04T00:00:00" maxDate="2024-01-01T00:00:00" count="77">
        <d v="2023-12-31T00:00:00"/>
        <d v="2023-02-22T00:00:00"/>
        <d v="2023-11-10T00:00:00"/>
        <d v="2023-05-05T00:00:00"/>
        <d v="2023-02-02T00:00:00"/>
        <d v="2023-01-11T00:00:00"/>
        <d v="2023-08-14T00:00:00"/>
        <d v="2023-01-04T00:00:00"/>
        <d v="2023-07-21T00:00:00"/>
        <d v="2023-12-29T00:00:00"/>
        <d v="2023-04-05T00:00:00"/>
        <d v="2023-07-25T00:00:00"/>
        <d v="2023-02-25T00:00:00"/>
        <d v="2023-02-24T00:00:00"/>
        <d v="2023-08-26T00:00:00"/>
        <d v="2023-02-13T00:00:00"/>
        <d v="2023-06-28T00:00:00"/>
        <d v="2023-11-28T00:00:00"/>
        <d v="2023-08-25T00:00:00"/>
        <d v="2023-12-04T00:00:00"/>
        <d v="2023-02-10T00:00:00"/>
        <d v="2023-09-11T00:00:00"/>
        <d v="2023-11-02T00:00:00"/>
        <d v="2023-05-28T00:00:00"/>
        <d v="2023-10-15T00:00:00"/>
        <d v="2023-01-16T00:00:00"/>
        <d v="2023-09-10T00:00:00"/>
        <d v="2023-07-10T00:00:00"/>
        <d v="2023-02-14T00:00:00"/>
        <d v="2023-03-26T00:00:00"/>
        <d v="2023-06-15T00:00:00"/>
        <d v="2023-05-22T00:00:00"/>
        <d v="2023-11-20T00:00:00"/>
        <d v="2023-12-01T00:00:00"/>
        <d v="2023-07-23T00:00:00"/>
        <d v="2023-10-17T00:00:00"/>
        <d v="2023-08-22T00:00:00"/>
        <d v="2023-01-12T00:00:00"/>
        <d v="2023-09-23T00:00:00"/>
        <d v="2023-07-16T00:00:00"/>
        <d v="2023-02-05T00:00:00"/>
        <d v="2023-12-18T00:00:00"/>
        <d v="2023-06-11T00:00:00"/>
        <d v="2023-07-17T00:00:00"/>
        <d v="2023-10-19T00:00:00"/>
        <d v="2023-05-15T00:00:00"/>
        <d v="2023-01-30T00:00:00"/>
        <d v="2023-03-06T00:00:00"/>
        <d v="2023-10-18T00:00:00"/>
        <d v="2023-01-07T00:00:00"/>
        <d v="2023-08-05T00:00:00"/>
        <d v="2023-02-04T00:00:00"/>
        <d v="2023-10-09T00:00:00"/>
        <d v="2023-11-22T00:00:00"/>
        <d v="2023-05-20T00:00:00"/>
        <d v="2023-07-28T00:00:00"/>
        <d v="2023-02-07T00:00:00"/>
        <d v="2023-07-03T00:00:00"/>
        <d v="2023-07-22T00:00:00"/>
        <d v="2023-01-18T00:00:00"/>
        <d v="2023-05-24T00:00:00"/>
        <d v="2023-09-03T00:00:00"/>
        <d v="2023-03-12T00:00:00"/>
        <d v="2023-10-16T00:00:00"/>
        <d v="2023-05-11T00:00:00"/>
        <d v="2023-10-28T00:00:00"/>
        <d v="2023-10-11T00:00:00"/>
        <d v="2023-07-13T00:00:00"/>
        <d v="2023-06-23T00:00:00"/>
        <d v="2023-02-21T00:00:00"/>
        <d v="2023-02-19T00:00:00"/>
        <d v="2023-10-02T00:00:00"/>
        <d v="2023-06-07T00:00:00"/>
        <d v="2023-07-09T00:00:00"/>
        <d v="2023-12-23T00:00:00"/>
        <d v="2023-09-25T00:00:00"/>
        <d v="2023-03-27T00:00:00"/>
      </sharedItems>
      <fieldGroup par="27"/>
    </cacheField>
    <cacheField name="Delivery Date" numFmtId="14">
      <sharedItems containsNonDate="0" containsDate="1" containsString="0" containsBlank="1" minDate="2023-01-09T00:00:00" maxDate="2024-01-02T00:00:00" count="32">
        <m/>
        <d v="2023-02-24T00:00:00"/>
        <d v="2023-02-05T00:00:00"/>
        <d v="2023-07-01T00:00:00"/>
        <d v="2023-11-05T00:00:00"/>
        <d v="2023-05-30T00:00:00"/>
        <d v="2023-10-21T00:00:00"/>
        <d v="2023-05-23T00:00:00"/>
        <d v="2023-12-26T00:00:00"/>
        <d v="2023-10-22T00:00:00"/>
        <d v="2023-09-30T00:00:00"/>
        <d v="2023-07-18T00:00:00"/>
        <d v="2023-12-08T00:00:00"/>
        <d v="2023-07-19T00:00:00"/>
        <d v="2023-10-24T00:00:00"/>
        <d v="2023-02-19T00:00:00"/>
        <d v="2023-02-01T00:00:00"/>
        <d v="2024-01-01T00:00:00"/>
        <d v="2023-02-06T00:00:00"/>
        <d v="2023-01-09T00:00:00"/>
        <d v="2023-11-29T00:00:00"/>
        <d v="2023-12-29T00:00:00"/>
        <d v="2023-07-30T00:00:00"/>
        <d v="2023-12-25T00:00:00"/>
        <d v="2023-01-24T00:00:00"/>
        <d v="2023-09-09T00:00:00"/>
        <d v="2023-11-04T00:00:00"/>
        <d v="2023-10-19T00:00:00"/>
        <d v="2023-10-30T00:00:00"/>
        <d v="2023-06-29T00:00:00"/>
        <d v="2023-02-21T00:00:00"/>
        <d v="2023-07-12T00:00:00"/>
      </sharedItems>
    </cacheField>
    <cacheField name="Cancel Date" numFmtId="14">
      <sharedItems containsNonDate="0" containsDate="1" containsString="0" containsBlank="1" minDate="2023-01-24T00:00:00" maxDate="2024-02-02T00:00:00" count="27">
        <d v="2024-02-01T00:00:00"/>
        <m/>
        <d v="2023-11-05T00:00:00"/>
        <d v="2023-02-11T00:00:00"/>
        <d v="2023-08-18T00:00:00"/>
        <d v="2023-06-04T00:00:00"/>
        <d v="2023-08-05T00:00:00"/>
        <d v="2023-02-28T00:00:00"/>
        <d v="2023-02-25T00:00:00"/>
        <d v="2023-09-02T00:00:00"/>
        <d v="2023-02-14T00:00:00"/>
        <d v="2023-10-10T00:00:00"/>
        <d v="2023-06-22T00:00:00"/>
        <d v="2023-08-24T00:00:00"/>
        <d v="2023-12-23T00:00:00"/>
        <d v="2023-06-14T00:00:00"/>
        <d v="2023-03-13T00:00:00"/>
        <d v="2023-05-04T00:00:00"/>
        <d v="2023-12-10T00:00:00"/>
        <d v="2023-10-20T00:00:00"/>
        <d v="2023-05-21T00:00:00"/>
        <d v="2023-07-07T00:00:00"/>
        <d v="2023-07-25T00:00:00"/>
        <d v="2023-06-12T00:00:00"/>
        <d v="2023-06-18T00:00:00"/>
        <d v="2023-12-12T00:00:00"/>
        <d v="2023-01-24T00:00:00"/>
      </sharedItems>
    </cacheField>
    <cacheField name="Customer ID" numFmtId="0">
      <sharedItems/>
    </cacheField>
    <cacheField name="Product ID" numFmtId="0">
      <sharedItems/>
    </cacheField>
    <cacheField name="Product Category" numFmtId="0">
      <sharedItems count="6">
        <s v="Home"/>
        <s v="Toys"/>
        <s v="Fashion"/>
        <s v="Electronics"/>
        <s v="Books"/>
        <e v="#N/A" u="1"/>
      </sharedItems>
    </cacheField>
    <cacheField name="Product Name" numFmtId="0">
      <sharedItems count="23">
        <s v="Lamp"/>
        <s v="Doll House"/>
        <s v="Vacuum Cleaner"/>
        <s v="Jeans"/>
        <s v="Bluetooth Speaker"/>
        <s v="Wall Clock"/>
        <s v="Formal Shirt"/>
        <s v="Cookware Set"/>
        <s v="Smartwatch"/>
        <s v="Shoes"/>
        <s v="Gaming Mouse"/>
        <s v="T-Shirt"/>
        <s v="Novel"/>
        <s v="Textbook"/>
        <s v="Smartphone"/>
        <s v="Action Figure"/>
        <s v="Backpack"/>
        <s v="Magazine"/>
        <s v="Headphones"/>
        <s v="Cookware Set Pro"/>
        <s v="Puzzle"/>
        <s v="Leg Set"/>
        <e v="#N/A" u="1"/>
      </sharedItems>
    </cacheField>
    <cacheField name="Region" numFmtId="0">
      <sharedItems containsBlank="1" count="6">
        <s v="North"/>
        <s v="East"/>
        <s v="South"/>
        <s v="Central"/>
        <s v="West"/>
        <m u="1"/>
      </sharedItems>
    </cacheField>
    <cacheField name="Sale Price/Unit" numFmtId="0">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0">
      <sharedItems containsSemiMixedTypes="0" containsString="0" containsNumber="1" containsInteger="1" minValue="21" maxValue="3260"/>
    </cacheField>
    <cacheField name="Payment Method" numFmtId="0">
      <sharedItems containsBlank="1" count="6">
        <s v="Apple Pay"/>
        <s v="Credit Card"/>
        <s v="PayPal"/>
        <s v="Amazon Pay"/>
        <s v="Debit Card"/>
        <m u="1"/>
      </sharedItems>
    </cacheField>
    <cacheField name="Delivery Status" numFmtId="0">
      <sharedItems containsBlank="1" count="4">
        <s v="Cancelled"/>
        <s v="Delivered"/>
        <s v="In Transit"/>
        <m u="1"/>
      </sharedItems>
    </cacheField>
    <cacheField name="Fulfillment Partner" numFmtId="0">
      <sharedItems/>
    </cacheField>
    <cacheField name="Order Status" numFmtId="0">
      <sharedItems/>
    </cacheField>
    <cacheField name="Delivery Time" numFmtId="0">
      <sharedItems containsString="0" containsBlank="1" containsNumber="1" containsInteger="1" minValue="1" maxValue="38"/>
    </cacheField>
    <cacheField name="Cancelled" numFmtId="0">
      <sharedItems containsSemiMixedTypes="0" containsString="0" containsNumber="1" containsInteger="1" minValue="0" maxValue="1"/>
    </cacheField>
    <cacheField name="Delivered" numFmtId="0">
      <sharedItems containsSemiMixedTypes="0" containsString="0" containsNumber="1" containsInteger="1" minValue="0" maxValue="1"/>
    </cacheField>
    <cacheField name="Delivered sales Amount" numFmtId="0">
      <sharedItems containsSemiMixedTypes="0" containsString="0" containsNumber="1" containsInteger="1" minValue="0" maxValue="3260"/>
    </cacheField>
    <cacheField name="Delivery performance" numFmtId="0">
      <sharedItems/>
    </cacheField>
    <cacheField name="Fast delivery" numFmtId="0">
      <sharedItems containsSemiMixedTypes="0" containsString="0" containsNumber="1" containsInteger="1" minValue="0" maxValue="1"/>
    </cacheField>
    <cacheField name="Fast delivery rate" numFmtId="0" formula="'Fast delivery'/Delivered" databaseField="0"/>
    <cacheField name="Pending" numFmtId="0" formula="'Order count'-Cancelled-Delivered" databaseField="0"/>
    <cacheField name="Cancellation%" numFmtId="0" formula="Cancelled/'Order count'" databaseField="0"/>
    <cacheField name="Months (Order Date)" numFmtId="0" databaseField="0">
      <fieldGroup base="2">
        <rangePr groupBy="months" startDate="2023-01-04T00:00:00" endDate="2024-01-01T00:00:00"/>
        <groupItems count="14">
          <s v="&lt;04-01-2023"/>
          <s v="Jan"/>
          <s v="Feb"/>
          <s v="Mar"/>
          <s v="Apr"/>
          <s v="May"/>
          <s v="Jun"/>
          <s v="Jul"/>
          <s v="Aug"/>
          <s v="Sep"/>
          <s v="Oct"/>
          <s v="Nov"/>
          <s v="Dec"/>
          <s v="&gt;01-01-2024"/>
        </groupItems>
      </fieldGroup>
    </cacheField>
    <cacheField name="Quarters (Order Date)" numFmtId="0" databaseField="0">
      <fieldGroup base="2">
        <rangePr groupBy="quarters" startDate="2023-01-04T00:00:00" endDate="2024-01-01T00:00:00"/>
        <groupItems count="6">
          <s v="&lt;04-01-2023"/>
          <s v="Qtr1"/>
          <s v="Qtr2"/>
          <s v="Qtr3"/>
          <s v="Qtr4"/>
          <s v="&gt;01-01-2024"/>
        </groupItems>
      </fieldGroup>
    </cacheField>
  </cacheFields>
  <extLst>
    <ext xmlns:x14="http://schemas.microsoft.com/office/spreadsheetml/2009/9/main" uri="{725AE2AE-9491-48be-B2B4-4EB974FC3084}">
      <x14:pivotCacheDefinition pivotCacheId="12465460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
    <s v="ORD0001"/>
    <d v="2023-12-31T00:00:00"/>
    <m/>
    <d v="2024-02-01T00:00:00"/>
    <s v="CUST021"/>
    <s v="PROD012"/>
    <s v="Home"/>
    <s v="Lamp"/>
    <x v="0"/>
    <n v="44"/>
    <n v="1"/>
    <n v="44"/>
    <s v="Apple Pay"/>
    <s v="Cancelled"/>
    <s v="DHL"/>
    <s v="Cancelled"/>
    <m/>
    <n v="1"/>
    <n v="0"/>
    <n v="0"/>
    <s v=""/>
    <n v="0"/>
  </r>
  <r>
    <n v="1"/>
    <s v="ORD0002"/>
    <d v="2023-02-22T00:00:00"/>
    <d v="2023-02-24T00:00:00"/>
    <m/>
    <s v="CUST029"/>
    <s v="PROD018"/>
    <s v="Toys"/>
    <s v="Doll House"/>
    <x v="1"/>
    <n v="96"/>
    <n v="4"/>
    <n v="384"/>
    <s v="Credit Card"/>
    <s v="Delivered"/>
    <s v="DHL"/>
    <s v="Active"/>
    <n v="2"/>
    <n v="0"/>
    <n v="1"/>
    <n v="384"/>
    <s v="Fast"/>
    <n v="1"/>
  </r>
  <r>
    <n v="1"/>
    <s v="ORD0003"/>
    <d v="2023-11-10T00:00:00"/>
    <m/>
    <m/>
    <s v="CUST021"/>
    <s v="PROD013"/>
    <s v="Home"/>
    <s v="Vacuum Cleaner"/>
    <x v="2"/>
    <n v="194"/>
    <n v="4"/>
    <n v="776"/>
    <s v="Credit Card"/>
    <s v="In Transit"/>
    <s v="USPS"/>
    <s v="Active"/>
    <m/>
    <n v="0"/>
    <n v="0"/>
    <n v="0"/>
    <s v=""/>
    <n v="0"/>
  </r>
  <r>
    <n v="1"/>
    <s v="ORD0004"/>
    <d v="2023-05-05T00:00:00"/>
    <m/>
    <d v="2023-11-05T00:00:00"/>
    <s v="CUST044"/>
    <s v="PROD013"/>
    <s v="Home"/>
    <s v="Vacuum Cleaner"/>
    <x v="0"/>
    <n v="196"/>
    <n v="3"/>
    <n v="588"/>
    <s v="PayPal"/>
    <s v="Cancelled"/>
    <s v="UPS"/>
    <s v="Cancelled"/>
    <m/>
    <n v="1"/>
    <n v="0"/>
    <n v="0"/>
    <s v=""/>
    <n v="0"/>
  </r>
  <r>
    <n v="1"/>
    <s v="ORD0005"/>
    <d v="2023-02-02T00:00:00"/>
    <d v="2023-02-05T00:00:00"/>
    <m/>
    <s v="CUST027"/>
    <s v="PROD010"/>
    <s v="Fashion"/>
    <s v="Jeans"/>
    <x v="0"/>
    <n v="59"/>
    <n v="1"/>
    <n v="59"/>
    <s v="PayPal"/>
    <s v="Delivered"/>
    <s v="Amazon Logistics"/>
    <s v="Active"/>
    <n v="3"/>
    <n v="0"/>
    <n v="1"/>
    <n v="59"/>
    <s v="Slow"/>
    <n v="0"/>
  </r>
  <r>
    <n v="1"/>
    <s v="ORD0006"/>
    <d v="2023-01-11T00:00:00"/>
    <m/>
    <d v="2023-02-11T00:00:00"/>
    <s v="CUST009"/>
    <s v="PROD010"/>
    <s v="Fashion"/>
    <s v="Jeans"/>
    <x v="0"/>
    <n v="58"/>
    <n v="4"/>
    <n v="232"/>
    <s v="Amazon Pay"/>
    <s v="Cancelled"/>
    <s v="DHL"/>
    <s v="Cancelled"/>
    <m/>
    <n v="1"/>
    <n v="0"/>
    <n v="0"/>
    <s v=""/>
    <n v="0"/>
  </r>
  <r>
    <n v="1"/>
    <s v="ORD0007"/>
    <d v="2023-08-14T00:00:00"/>
    <m/>
    <d v="2023-08-18T00:00:00"/>
    <s v="CUST042"/>
    <s v="PROD020"/>
    <s v="Electronics"/>
    <s v="Bluetooth Speaker"/>
    <x v="3"/>
    <n v="105"/>
    <n v="3"/>
    <n v="315"/>
    <s v="Debit Card"/>
    <s v="Cancelled"/>
    <s v="DHL"/>
    <s v="Cancelled"/>
    <m/>
    <n v="1"/>
    <n v="0"/>
    <n v="0"/>
    <s v=""/>
    <n v="0"/>
  </r>
  <r>
    <n v="1"/>
    <s v="ORD0008"/>
    <d v="2023-01-04T00:00:00"/>
    <m/>
    <d v="2023-06-04T00:00:00"/>
    <s v="CUST019"/>
    <s v="PROD021"/>
    <s v="Home"/>
    <s v="Wall Clock"/>
    <x v="4"/>
    <n v="37"/>
    <n v="5"/>
    <n v="185"/>
    <s v="PayPal"/>
    <s v="Cancelled"/>
    <s v="DHL"/>
    <s v="Cancelled"/>
    <m/>
    <n v="1"/>
    <n v="0"/>
    <n v="0"/>
    <s v=""/>
    <n v="0"/>
  </r>
  <r>
    <n v="1"/>
    <s v="ORD0009"/>
    <d v="2023-07-21T00:00:00"/>
    <m/>
    <m/>
    <s v="CUST013"/>
    <s v="PROD019"/>
    <s v="Fashion"/>
    <s v="Formal Shirt"/>
    <x v="3"/>
    <n v="44"/>
    <n v="2"/>
    <n v="88"/>
    <s v="Credit Card"/>
    <s v="In Transit"/>
    <s v="Amazon Logistics"/>
    <s v="Active"/>
    <m/>
    <n v="0"/>
    <n v="0"/>
    <n v="0"/>
    <s v=""/>
    <n v="0"/>
  </r>
  <r>
    <n v="1"/>
    <s v="ORD0010"/>
    <d v="2023-12-29T00:00:00"/>
    <m/>
    <m/>
    <s v="CUST019"/>
    <s v="PROD003"/>
    <s v="Home"/>
    <s v="Cookware Set"/>
    <x v="2"/>
    <n v="141"/>
    <n v="4"/>
    <n v="564"/>
    <s v="Debit Card"/>
    <s v="In Transit"/>
    <s v="DHL"/>
    <s v="Active"/>
    <m/>
    <n v="0"/>
    <n v="0"/>
    <n v="0"/>
    <s v=""/>
    <n v="0"/>
  </r>
  <r>
    <n v="1"/>
    <s v="ORD0011"/>
    <d v="2023-04-05T00:00:00"/>
    <m/>
    <d v="2023-08-05T00:00:00"/>
    <s v="CUST046"/>
    <s v="PROD014"/>
    <s v="Electronics"/>
    <s v="Smartwatch"/>
    <x v="2"/>
    <n v="249"/>
    <n v="1"/>
    <n v="249"/>
    <s v="Amazon Pay"/>
    <s v="Cancelled"/>
    <s v="USPS"/>
    <s v="Cancelled"/>
    <m/>
    <n v="1"/>
    <n v="0"/>
    <n v="0"/>
    <s v=""/>
    <n v="0"/>
  </r>
  <r>
    <n v="1"/>
    <s v="ORD0012"/>
    <d v="2023-07-25T00:00:00"/>
    <m/>
    <m/>
    <s v="CUST045"/>
    <s v="PROD014"/>
    <s v="Electronics"/>
    <s v="Smartwatch"/>
    <x v="3"/>
    <n v="247"/>
    <n v="3"/>
    <n v="741"/>
    <s v="Amazon Pay"/>
    <s v="In Transit"/>
    <s v="FedEx"/>
    <s v="Active"/>
    <m/>
    <n v="0"/>
    <n v="0"/>
    <n v="0"/>
    <s v=""/>
    <n v="0"/>
  </r>
  <r>
    <n v="1"/>
    <s v="ORD0013"/>
    <d v="2023-02-25T00:00:00"/>
    <m/>
    <d v="2023-02-28T00:00:00"/>
    <s v="CUST023"/>
    <s v="PROD006"/>
    <s v="Fashion"/>
    <s v="Shoes"/>
    <x v="3"/>
    <n v="96"/>
    <n v="1"/>
    <n v="96"/>
    <s v="Apple Pay"/>
    <s v="Cancelled"/>
    <s v="Amazon Logistics"/>
    <s v="Cancelled"/>
    <m/>
    <n v="1"/>
    <n v="0"/>
    <n v="0"/>
    <s v=""/>
    <n v="0"/>
  </r>
  <r>
    <n v="1"/>
    <s v="ORD0014"/>
    <d v="2023-02-24T00:00:00"/>
    <m/>
    <d v="2023-02-25T00:00:00"/>
    <s v="CUST033"/>
    <s v="PROD017"/>
    <s v="Electronics"/>
    <s v="Gaming Mouse"/>
    <x v="4"/>
    <n v="74"/>
    <n v="5"/>
    <n v="370"/>
    <s v="Apple Pay"/>
    <s v="Cancelled"/>
    <s v="Amazon Logistics"/>
    <s v="Cancelled"/>
    <m/>
    <n v="1"/>
    <n v="0"/>
    <n v="0"/>
    <s v=""/>
    <n v="0"/>
  </r>
  <r>
    <n v="1"/>
    <s v="ORD0015"/>
    <d v="2023-08-26T00:00:00"/>
    <m/>
    <d v="2023-09-02T00:00:00"/>
    <s v="CUST033"/>
    <s v="PROD005"/>
    <s v="Fashion"/>
    <s v="T-Shirt"/>
    <x v="2"/>
    <n v="27"/>
    <n v="1"/>
    <n v="27"/>
    <s v="Credit Card"/>
    <s v="Cancelled"/>
    <s v="Amazon Logistics"/>
    <s v="Cancelled"/>
    <m/>
    <n v="1"/>
    <n v="0"/>
    <n v="0"/>
    <s v=""/>
    <n v="0"/>
  </r>
  <r>
    <n v="1"/>
    <s v="ORD0016"/>
    <d v="2023-02-13T00:00:00"/>
    <m/>
    <m/>
    <s v="CUST047"/>
    <s v="PROD005"/>
    <s v="Fashion"/>
    <s v="T-Shirt"/>
    <x v="2"/>
    <n v="27"/>
    <n v="3"/>
    <n v="81"/>
    <s v="Debit Card"/>
    <s v="In Transit"/>
    <s v="Amazon Logistics"/>
    <s v="Active"/>
    <m/>
    <n v="0"/>
    <n v="0"/>
    <n v="0"/>
    <s v=""/>
    <n v="0"/>
  </r>
  <r>
    <n v="1"/>
    <s v="ORD0017"/>
    <d v="2023-06-28T00:00:00"/>
    <d v="2023-07-01T00:00:00"/>
    <m/>
    <s v="CUST045"/>
    <s v="PROD015"/>
    <s v="Books"/>
    <s v="Novel"/>
    <x v="1"/>
    <n v="21"/>
    <n v="3"/>
    <n v="63"/>
    <s v="Credit Card"/>
    <s v="Delivered"/>
    <s v="DHL"/>
    <s v="Active"/>
    <n v="3"/>
    <n v="0"/>
    <n v="1"/>
    <n v="63"/>
    <s v="Slow"/>
    <n v="0"/>
  </r>
  <r>
    <n v="1"/>
    <s v="ORD0018"/>
    <d v="2023-11-28T00:00:00"/>
    <m/>
    <m/>
    <s v="CUST011"/>
    <s v="PROD008"/>
    <s v="Books"/>
    <s v="Textbook"/>
    <x v="4"/>
    <n v="70"/>
    <n v="5"/>
    <n v="350"/>
    <s v="PayPal"/>
    <s v="In Transit"/>
    <s v="Amazon Logistics"/>
    <s v="Active"/>
    <m/>
    <n v="0"/>
    <n v="0"/>
    <n v="0"/>
    <s v=""/>
    <n v="0"/>
  </r>
  <r>
    <n v="1"/>
    <s v="ORD0019"/>
    <d v="2023-08-25T00:00:00"/>
    <m/>
    <m/>
    <s v="CUST041"/>
    <s v="PROD006"/>
    <s v="Fashion"/>
    <s v="Shoes"/>
    <x v="2"/>
    <n v="94"/>
    <n v="4"/>
    <n v="376"/>
    <s v="Credit Card"/>
    <s v="In Transit"/>
    <s v="USPS"/>
    <s v="Active"/>
    <m/>
    <n v="0"/>
    <n v="0"/>
    <n v="0"/>
    <s v=""/>
    <n v="0"/>
  </r>
  <r>
    <n v="1"/>
    <s v="ORD0020"/>
    <d v="2023-12-04T00:00:00"/>
    <m/>
    <m/>
    <s v="CUST025"/>
    <s v="PROD001"/>
    <s v="Electronics"/>
    <s v="Smartphone"/>
    <x v="0"/>
    <n v="813"/>
    <n v="2"/>
    <n v="1626"/>
    <s v="Credit Card"/>
    <s v="In Transit"/>
    <s v="FedEx"/>
    <s v="Active"/>
    <m/>
    <n v="0"/>
    <n v="0"/>
    <n v="0"/>
    <s v=""/>
    <n v="0"/>
  </r>
  <r>
    <n v="1"/>
    <s v="ORD0021"/>
    <d v="2023-02-10T00:00:00"/>
    <m/>
    <m/>
    <s v="CUST013"/>
    <s v="PROD015"/>
    <s v="Books"/>
    <s v="Novel"/>
    <x v="3"/>
    <n v="21"/>
    <n v="4"/>
    <n v="84"/>
    <s v="PayPal"/>
    <s v="In Transit"/>
    <s v="Amazon Logistics"/>
    <s v="Active"/>
    <m/>
    <n v="0"/>
    <n v="0"/>
    <n v="0"/>
    <s v=""/>
    <n v="0"/>
  </r>
  <r>
    <n v="1"/>
    <s v="ORD0022"/>
    <d v="2023-09-11T00:00:00"/>
    <m/>
    <m/>
    <s v="CUST023"/>
    <s v="PROD012"/>
    <s v="Home"/>
    <s v="Lamp"/>
    <x v="4"/>
    <n v="46"/>
    <n v="5"/>
    <n v="230"/>
    <s v="PayPal"/>
    <s v="In Transit"/>
    <s v="USPS"/>
    <s v="Active"/>
    <m/>
    <n v="0"/>
    <n v="0"/>
    <n v="0"/>
    <s v=""/>
    <n v="0"/>
  </r>
  <r>
    <n v="1"/>
    <s v="ORD0023"/>
    <d v="2023-02-13T00:00:00"/>
    <m/>
    <d v="2023-02-14T00:00:00"/>
    <s v="CUST016"/>
    <s v="PROD010"/>
    <s v="Fashion"/>
    <s v="Jeans"/>
    <x v="4"/>
    <n v="58"/>
    <n v="3"/>
    <n v="174"/>
    <s v="Amazon Pay"/>
    <s v="Cancelled"/>
    <s v="Amazon Logistics"/>
    <s v="Cancelled"/>
    <m/>
    <n v="1"/>
    <n v="0"/>
    <n v="0"/>
    <s v=""/>
    <n v="0"/>
  </r>
  <r>
    <n v="1"/>
    <s v="ORD0024"/>
    <d v="2023-11-02T00:00:00"/>
    <d v="2023-11-05T00:00:00"/>
    <m/>
    <s v="CUST028"/>
    <s v="PROD006"/>
    <s v="Fashion"/>
    <s v="Shoes"/>
    <x v="4"/>
    <n v="96"/>
    <n v="5"/>
    <n v="480"/>
    <s v="Amazon Pay"/>
    <s v="Delivered"/>
    <s v="Amazon Logistics"/>
    <s v="Active"/>
    <n v="3"/>
    <n v="0"/>
    <n v="1"/>
    <n v="480"/>
    <s v="Slow"/>
    <n v="0"/>
  </r>
  <r>
    <n v="1"/>
    <s v="ORD0025"/>
    <d v="2023-05-28T00:00:00"/>
    <d v="2023-05-30T00:00:00"/>
    <m/>
    <s v="CUST040"/>
    <s v="PROD002"/>
    <s v="Toys"/>
    <s v="Action Figure"/>
    <x v="2"/>
    <n v="43"/>
    <n v="1"/>
    <n v="43"/>
    <s v="Debit Card"/>
    <s v="Delivered"/>
    <s v="Amazon Logistics"/>
    <s v="Active"/>
    <n v="2"/>
    <n v="0"/>
    <n v="1"/>
    <n v="43"/>
    <s v="Fast"/>
    <n v="1"/>
  </r>
  <r>
    <n v="1"/>
    <s v="ORD0026"/>
    <d v="2023-10-15T00:00:00"/>
    <d v="2023-10-21T00:00:00"/>
    <m/>
    <s v="CUST027"/>
    <s v="PROD022"/>
    <s v="Fashion"/>
    <s v="Backpack"/>
    <x v="2"/>
    <n v="64"/>
    <n v="4"/>
    <n v="256"/>
    <s v="Debit Card"/>
    <s v="Delivered"/>
    <s v="USPS"/>
    <s v="Active"/>
    <n v="6"/>
    <n v="0"/>
    <n v="1"/>
    <n v="256"/>
    <s v="Slow"/>
    <n v="0"/>
  </r>
  <r>
    <n v="1"/>
    <s v="ORD0027"/>
    <d v="2023-01-16T00:00:00"/>
    <m/>
    <m/>
    <s v="CUST018"/>
    <s v="PROD008"/>
    <s v="Books"/>
    <s v="Textbook"/>
    <x v="2"/>
    <n v="70"/>
    <n v="2"/>
    <n v="140"/>
    <s v="Amazon Pay"/>
    <s v="In Transit"/>
    <s v="Amazon Logistics"/>
    <s v="Active"/>
    <m/>
    <n v="0"/>
    <n v="0"/>
    <n v="0"/>
    <s v=""/>
    <n v="0"/>
  </r>
  <r>
    <n v="1"/>
    <s v="ORD0028"/>
    <d v="2023-09-10T00:00:00"/>
    <m/>
    <m/>
    <s v="CUST018"/>
    <s v="PROD018"/>
    <s v="Toys"/>
    <s v="Doll House"/>
    <x v="3"/>
    <n v="97"/>
    <n v="3"/>
    <n v="291"/>
    <s v="Credit Card"/>
    <s v="In Transit"/>
    <s v="Amazon Logistics"/>
    <s v="Active"/>
    <m/>
    <n v="0"/>
    <n v="0"/>
    <n v="0"/>
    <s v=""/>
    <n v="0"/>
  </r>
  <r>
    <n v="1"/>
    <s v="ORD0029"/>
    <d v="2023-07-10T00:00:00"/>
    <m/>
    <d v="2023-10-10T00:00:00"/>
    <s v="CUST007"/>
    <s v="PROD021"/>
    <s v="Home"/>
    <s v="Wall Clock"/>
    <x v="1"/>
    <n v="37"/>
    <n v="3"/>
    <n v="111"/>
    <s v="Apple Pay"/>
    <s v="Cancelled"/>
    <s v="DHL"/>
    <s v="Cancelled"/>
    <m/>
    <n v="1"/>
    <n v="0"/>
    <n v="0"/>
    <s v=""/>
    <n v="0"/>
  </r>
  <r>
    <n v="1"/>
    <s v="ORD0030"/>
    <d v="2023-02-14T00:00:00"/>
    <m/>
    <m/>
    <s v="CUST008"/>
    <s v="PROD008"/>
    <s v="Books"/>
    <s v="Textbook"/>
    <x v="0"/>
    <n v="69"/>
    <n v="5"/>
    <n v="345"/>
    <s v="Amazon Pay"/>
    <s v="In Transit"/>
    <s v="Amazon Logistics"/>
    <s v="Active"/>
    <m/>
    <n v="0"/>
    <n v="0"/>
    <n v="0"/>
    <s v=""/>
    <n v="0"/>
  </r>
  <r>
    <n v="1"/>
    <s v="ORD0031"/>
    <d v="2023-03-26T00:00:00"/>
    <m/>
    <m/>
    <s v="CUST014"/>
    <s v="PROD002"/>
    <s v="Toys"/>
    <s v="Action Figure"/>
    <x v="0"/>
    <n v="42"/>
    <n v="5"/>
    <n v="210"/>
    <s v="Amazon Pay"/>
    <s v="In Transit"/>
    <s v="UPS"/>
    <s v="Active"/>
    <m/>
    <n v="0"/>
    <n v="0"/>
    <n v="0"/>
    <s v=""/>
    <n v="0"/>
  </r>
  <r>
    <n v="1"/>
    <s v="ORD0032"/>
    <d v="2023-06-15T00:00:00"/>
    <m/>
    <d v="2023-06-22T00:00:00"/>
    <s v="CUST037"/>
    <s v="PROD009"/>
    <s v="Books"/>
    <s v="Magazine"/>
    <x v="1"/>
    <n v="11"/>
    <n v="5"/>
    <n v="55"/>
    <s v="Debit Card"/>
    <s v="Cancelled"/>
    <s v="FedEx"/>
    <s v="Cancelled"/>
    <m/>
    <n v="1"/>
    <n v="0"/>
    <n v="0"/>
    <s v=""/>
    <n v="0"/>
  </r>
  <r>
    <n v="1"/>
    <s v="ORD0033"/>
    <d v="2023-05-22T00:00:00"/>
    <d v="2023-05-23T00:00:00"/>
    <m/>
    <s v="CUST016"/>
    <s v="PROD005"/>
    <s v="Fashion"/>
    <s v="T-Shirt"/>
    <x v="2"/>
    <n v="27"/>
    <n v="2"/>
    <n v="54"/>
    <s v="Apple Pay"/>
    <s v="Delivered"/>
    <s v="USPS"/>
    <s v="Active"/>
    <n v="1"/>
    <n v="0"/>
    <n v="1"/>
    <n v="54"/>
    <s v="Fast"/>
    <n v="1"/>
  </r>
  <r>
    <n v="1"/>
    <s v="ORD0034"/>
    <d v="2023-11-20T00:00:00"/>
    <m/>
    <m/>
    <s v="CUST025"/>
    <s v="PROD015"/>
    <s v="Books"/>
    <s v="Novel"/>
    <x v="2"/>
    <n v="21"/>
    <n v="1"/>
    <n v="21"/>
    <s v="Amazon Pay"/>
    <s v="In Transit"/>
    <s v="DHL"/>
    <s v="Active"/>
    <m/>
    <n v="0"/>
    <n v="0"/>
    <n v="0"/>
    <s v=""/>
    <n v="0"/>
  </r>
  <r>
    <n v="1"/>
    <s v="ORD0035"/>
    <d v="2023-12-01T00:00:00"/>
    <d v="2023-12-26T00:00:00"/>
    <m/>
    <s v="CUST032"/>
    <s v="PROD011"/>
    <s v="Electronics"/>
    <s v="Headphones"/>
    <x v="2"/>
    <n v="172"/>
    <n v="1"/>
    <n v="172"/>
    <s v="PayPal"/>
    <s v="Delivered"/>
    <s v="USPS"/>
    <s v="Active"/>
    <n v="25"/>
    <n v="0"/>
    <n v="1"/>
    <n v="172"/>
    <s v="Slow"/>
    <n v="0"/>
  </r>
  <r>
    <n v="1"/>
    <s v="ORD0036"/>
    <d v="2023-07-23T00:00:00"/>
    <m/>
    <m/>
    <s v="CUST014"/>
    <s v="PROD016"/>
    <s v="Home"/>
    <s v="Cookware Set Pro"/>
    <x v="0"/>
    <n v="212"/>
    <n v="3"/>
    <n v="636"/>
    <s v="Amazon Pay"/>
    <s v="In Transit"/>
    <s v="UPS"/>
    <s v="Active"/>
    <m/>
    <n v="0"/>
    <n v="0"/>
    <n v="0"/>
    <s v=""/>
    <n v="0"/>
  </r>
  <r>
    <n v="1"/>
    <s v="ORD0037"/>
    <d v="2023-10-17T00:00:00"/>
    <d v="2023-10-22T00:00:00"/>
    <m/>
    <s v="CUST044"/>
    <s v="PROD002"/>
    <s v="Toys"/>
    <s v="Action Figure"/>
    <x v="1"/>
    <n v="41"/>
    <n v="4"/>
    <n v="164"/>
    <s v="Credit Card"/>
    <s v="Delivered"/>
    <s v="Amazon Logistics"/>
    <s v="Active"/>
    <n v="5"/>
    <n v="0"/>
    <n v="1"/>
    <n v="164"/>
    <s v="Slow"/>
    <n v="0"/>
  </r>
  <r>
    <n v="1"/>
    <s v="ORD0038"/>
    <d v="2023-08-22T00:00:00"/>
    <m/>
    <d v="2023-08-24T00:00:00"/>
    <s v="CUST028"/>
    <s v="PROD007"/>
    <s v="Toys"/>
    <s v="Puzzle"/>
    <x v="0"/>
    <n v="32"/>
    <n v="2"/>
    <n v="64"/>
    <s v="Debit Card"/>
    <s v="Cancelled"/>
    <s v="FedEx"/>
    <s v="Cancelled"/>
    <m/>
    <n v="1"/>
    <n v="0"/>
    <n v="0"/>
    <s v=""/>
    <n v="0"/>
  </r>
  <r>
    <n v="1"/>
    <s v="ORD0039"/>
    <d v="2023-01-12T00:00:00"/>
    <m/>
    <m/>
    <s v="CUST024"/>
    <s v="PROD022"/>
    <s v="Fashion"/>
    <s v="Backpack"/>
    <x v="1"/>
    <n v="66"/>
    <n v="2"/>
    <n v="132"/>
    <s v="Apple Pay"/>
    <s v="In Transit"/>
    <s v="DHL"/>
    <s v="Active"/>
    <m/>
    <n v="0"/>
    <n v="0"/>
    <n v="0"/>
    <s v=""/>
    <n v="0"/>
  </r>
  <r>
    <n v="1"/>
    <s v="ORD0040"/>
    <d v="2023-01-12T00:00:00"/>
    <m/>
    <m/>
    <s v="CUST006"/>
    <s v="PROD004"/>
    <s v="Toys"/>
    <s v="Leg Set"/>
    <x v="1"/>
    <n v="62"/>
    <n v="4"/>
    <n v="248"/>
    <s v="Debit Card"/>
    <s v="In Transit"/>
    <s v="UPS"/>
    <s v="Active"/>
    <m/>
    <n v="0"/>
    <n v="0"/>
    <n v="0"/>
    <s v=""/>
    <n v="0"/>
  </r>
  <r>
    <n v="1"/>
    <s v="ORD0041"/>
    <d v="2023-09-23T00:00:00"/>
    <d v="2023-09-30T00:00:00"/>
    <m/>
    <s v="CUST001"/>
    <s v="PROD011"/>
    <s v="Electronics"/>
    <s v="Headphones"/>
    <x v="4"/>
    <n v="173"/>
    <n v="4"/>
    <n v="692"/>
    <s v="Apple Pay"/>
    <s v="Delivered"/>
    <s v="UPS"/>
    <s v="Active"/>
    <n v="7"/>
    <n v="0"/>
    <n v="1"/>
    <n v="692"/>
    <s v="Slow"/>
    <n v="0"/>
  </r>
  <r>
    <n v="1"/>
    <s v="ORD0042"/>
    <d v="2023-07-16T00:00:00"/>
    <d v="2023-07-18T00:00:00"/>
    <m/>
    <s v="CUST007"/>
    <s v="PROD004"/>
    <s v="Toys"/>
    <s v="Leg Set"/>
    <x v="4"/>
    <n v="63"/>
    <n v="3"/>
    <n v="189"/>
    <s v="Apple Pay"/>
    <s v="Delivered"/>
    <s v="UPS"/>
    <s v="Active"/>
    <n v="2"/>
    <n v="0"/>
    <n v="1"/>
    <n v="189"/>
    <s v="Fast"/>
    <n v="1"/>
  </r>
  <r>
    <n v="1"/>
    <s v="ORD0043"/>
    <d v="2023-02-05T00:00:00"/>
    <m/>
    <d v="2023-02-11T00:00:00"/>
    <s v="CUST040"/>
    <s v="PROD021"/>
    <s v="Home"/>
    <s v="Wall Clock"/>
    <x v="4"/>
    <n v="36"/>
    <n v="3"/>
    <n v="108"/>
    <s v="Debit Card"/>
    <s v="Cancelled"/>
    <s v="USPS"/>
    <s v="Cancelled"/>
    <m/>
    <n v="1"/>
    <n v="0"/>
    <n v="0"/>
    <s v=""/>
    <n v="0"/>
  </r>
  <r>
    <n v="1"/>
    <s v="ORD0044"/>
    <d v="2023-12-18T00:00:00"/>
    <m/>
    <d v="2023-12-23T00:00:00"/>
    <s v="CUST006"/>
    <s v="PROD004"/>
    <s v="Toys"/>
    <s v="Leg Set"/>
    <x v="3"/>
    <n v="62"/>
    <n v="1"/>
    <n v="62"/>
    <s v="Apple Pay"/>
    <s v="Cancelled"/>
    <s v="Amazon Logistics"/>
    <s v="Cancelled"/>
    <m/>
    <n v="1"/>
    <n v="0"/>
    <n v="0"/>
    <s v=""/>
    <n v="0"/>
  </r>
  <r>
    <n v="1"/>
    <s v="ORD0045"/>
    <d v="2023-06-11T00:00:00"/>
    <m/>
    <d v="2023-06-14T00:00:00"/>
    <s v="CUST042"/>
    <s v="PROD003"/>
    <s v="Home"/>
    <s v="Cookware Set"/>
    <x v="3"/>
    <n v="137"/>
    <n v="5"/>
    <n v="685"/>
    <s v="Amazon Pay"/>
    <s v="Cancelled"/>
    <s v="FedEx"/>
    <s v="Cancelled"/>
    <m/>
    <n v="1"/>
    <n v="0"/>
    <n v="0"/>
    <s v=""/>
    <n v="0"/>
  </r>
  <r>
    <n v="1"/>
    <s v="ORD0046"/>
    <d v="2023-12-04T00:00:00"/>
    <d v="2023-12-08T00:00:00"/>
    <m/>
    <s v="CUST039"/>
    <s v="PROD017"/>
    <s v="Electronics"/>
    <s v="Gaming Mouse"/>
    <x v="0"/>
    <n v="73"/>
    <n v="4"/>
    <n v="292"/>
    <s v="Credit Card"/>
    <s v="Delivered"/>
    <s v="Amazon Logistics"/>
    <s v="Active"/>
    <n v="4"/>
    <n v="0"/>
    <n v="1"/>
    <n v="292"/>
    <s v="Slow"/>
    <n v="0"/>
  </r>
  <r>
    <n v="1"/>
    <s v="ORD0047"/>
    <d v="2023-07-17T00:00:00"/>
    <d v="2023-07-19T00:00:00"/>
    <m/>
    <s v="CUST041"/>
    <s v="PROD020"/>
    <s v="Electronics"/>
    <s v="Bluetooth Speaker"/>
    <x v="0"/>
    <n v="104"/>
    <n v="1"/>
    <n v="104"/>
    <s v="PayPal"/>
    <s v="Delivered"/>
    <s v="Amazon Logistics"/>
    <s v="Active"/>
    <n v="2"/>
    <n v="0"/>
    <n v="1"/>
    <n v="104"/>
    <s v="Fast"/>
    <n v="1"/>
  </r>
  <r>
    <n v="1"/>
    <s v="ORD0048"/>
    <d v="2023-10-19T00:00:00"/>
    <d v="2023-10-24T00:00:00"/>
    <m/>
    <s v="CUST044"/>
    <s v="PROD006"/>
    <s v="Fashion"/>
    <s v="Shoes"/>
    <x v="1"/>
    <n v="97"/>
    <n v="1"/>
    <n v="97"/>
    <s v="Amazon Pay"/>
    <s v="Delivered"/>
    <s v="FedEx"/>
    <s v="Active"/>
    <n v="5"/>
    <n v="0"/>
    <n v="1"/>
    <n v="97"/>
    <s v="Slow"/>
    <n v="0"/>
  </r>
  <r>
    <n v="1"/>
    <s v="ORD0049"/>
    <d v="2023-05-15T00:00:00"/>
    <m/>
    <m/>
    <s v="CUST026"/>
    <s v="PROD017"/>
    <s v="Electronics"/>
    <s v="Gaming Mouse"/>
    <x v="2"/>
    <n v="73"/>
    <n v="5"/>
    <n v="365"/>
    <s v="Apple Pay"/>
    <s v="In Transit"/>
    <s v="Amazon Logistics"/>
    <s v="Active"/>
    <m/>
    <n v="0"/>
    <n v="0"/>
    <n v="0"/>
    <s v=""/>
    <n v="0"/>
  </r>
  <r>
    <n v="1"/>
    <s v="ORD0050"/>
    <d v="2023-01-12T00:00:00"/>
    <d v="2023-02-19T00:00:00"/>
    <m/>
    <s v="CUST040"/>
    <s v="PROD005"/>
    <s v="Fashion"/>
    <s v="T-Shirt"/>
    <x v="1"/>
    <n v="27"/>
    <n v="3"/>
    <n v="81"/>
    <s v="Amazon Pay"/>
    <s v="Delivered"/>
    <s v="UPS"/>
    <s v="Active"/>
    <n v="38"/>
    <n v="0"/>
    <n v="1"/>
    <n v="81"/>
    <s v="Slow"/>
    <n v="0"/>
  </r>
  <r>
    <n v="1"/>
    <s v="ORD0051"/>
    <d v="2023-02-10T00:00:00"/>
    <m/>
    <m/>
    <s v="CUST041"/>
    <s v="PROD021"/>
    <s v="Home"/>
    <s v="Wall Clock"/>
    <x v="0"/>
    <n v="37"/>
    <n v="1"/>
    <n v="37"/>
    <s v="Apple Pay"/>
    <s v="In Transit"/>
    <s v="UPS"/>
    <s v="Active"/>
    <m/>
    <n v="0"/>
    <n v="0"/>
    <n v="0"/>
    <s v=""/>
    <n v="0"/>
  </r>
  <r>
    <n v="1"/>
    <s v="ORD0052"/>
    <d v="2023-01-30T00:00:00"/>
    <d v="2023-02-01T00:00:00"/>
    <m/>
    <s v="CUST008"/>
    <s v="PROD015"/>
    <s v="Books"/>
    <s v="Novel"/>
    <x v="0"/>
    <n v="22"/>
    <n v="1"/>
    <n v="22"/>
    <s v="Debit Card"/>
    <s v="Delivered"/>
    <s v="FedEx"/>
    <s v="Active"/>
    <n v="2"/>
    <n v="0"/>
    <n v="1"/>
    <n v="22"/>
    <s v="Fast"/>
    <n v="1"/>
  </r>
  <r>
    <n v="1"/>
    <s v="ORD0053"/>
    <d v="2023-12-29T00:00:00"/>
    <d v="2024-01-01T00:00:00"/>
    <m/>
    <s v="CUST011"/>
    <s v="PROD016"/>
    <s v="Home"/>
    <s v="Cookware Set Pro"/>
    <x v="3"/>
    <n v="218"/>
    <n v="5"/>
    <n v="1090"/>
    <s v="PayPal"/>
    <s v="Delivered"/>
    <s v="DHL"/>
    <s v="Active"/>
    <n v="3"/>
    <n v="0"/>
    <n v="1"/>
    <n v="1090"/>
    <s v="Slow"/>
    <n v="0"/>
  </r>
  <r>
    <n v="1"/>
    <s v="ORD0054"/>
    <d v="2023-03-06T00:00:00"/>
    <m/>
    <d v="2023-03-13T00:00:00"/>
    <s v="CUST018"/>
    <s v="PROD004"/>
    <s v="Toys"/>
    <s v="Leg Set"/>
    <x v="0"/>
    <n v="64"/>
    <n v="1"/>
    <n v="64"/>
    <s v="Apple Pay"/>
    <s v="Cancelled"/>
    <s v="USPS"/>
    <s v="Cancelled"/>
    <m/>
    <n v="1"/>
    <n v="0"/>
    <n v="0"/>
    <s v=""/>
    <n v="0"/>
  </r>
  <r>
    <n v="1"/>
    <s v="ORD0055"/>
    <d v="2023-02-02T00:00:00"/>
    <d v="2023-02-06T00:00:00"/>
    <m/>
    <s v="CUST037"/>
    <s v="PROD021"/>
    <s v="Home"/>
    <s v="Wall Clock"/>
    <x v="3"/>
    <n v="36"/>
    <n v="4"/>
    <n v="144"/>
    <s v="PayPal"/>
    <s v="Delivered"/>
    <s v="Amazon Logistics"/>
    <s v="Active"/>
    <n v="4"/>
    <n v="0"/>
    <n v="1"/>
    <n v="144"/>
    <s v="Slow"/>
    <n v="0"/>
  </r>
  <r>
    <n v="1"/>
    <s v="ORD0056"/>
    <d v="2023-10-18T00:00:00"/>
    <d v="2023-10-21T00:00:00"/>
    <m/>
    <s v="CUST017"/>
    <s v="PROD004"/>
    <s v="Toys"/>
    <s v="Leg Set"/>
    <x v="4"/>
    <n v="65"/>
    <n v="1"/>
    <n v="65"/>
    <s v="Amazon Pay"/>
    <s v="Delivered"/>
    <s v="FedEx"/>
    <s v="Active"/>
    <n v="3"/>
    <n v="0"/>
    <n v="1"/>
    <n v="65"/>
    <s v="Slow"/>
    <n v="0"/>
  </r>
  <r>
    <n v="1"/>
    <s v="ORD0057"/>
    <d v="2023-01-07T00:00:00"/>
    <d v="2023-01-09T00:00:00"/>
    <m/>
    <s v="CUST025"/>
    <s v="PROD005"/>
    <s v="Fashion"/>
    <s v="T-Shirt"/>
    <x v="3"/>
    <n v="26"/>
    <n v="1"/>
    <n v="26"/>
    <s v="Apple Pay"/>
    <s v="Delivered"/>
    <s v="DHL"/>
    <s v="Active"/>
    <n v="2"/>
    <n v="0"/>
    <n v="1"/>
    <n v="26"/>
    <s v="Fast"/>
    <n v="1"/>
  </r>
  <r>
    <n v="1"/>
    <s v="ORD0058"/>
    <d v="2023-08-05T00:00:00"/>
    <m/>
    <m/>
    <s v="CUST021"/>
    <s v="PROD009"/>
    <s v="Books"/>
    <s v="Magazine"/>
    <x v="0"/>
    <n v="11"/>
    <n v="5"/>
    <n v="55"/>
    <s v="Credit Card"/>
    <s v="In Transit"/>
    <s v="FedEx"/>
    <s v="Active"/>
    <m/>
    <n v="0"/>
    <n v="0"/>
    <n v="0"/>
    <s v=""/>
    <n v="0"/>
  </r>
  <r>
    <n v="1"/>
    <s v="ORD0059"/>
    <d v="2023-02-04T00:00:00"/>
    <m/>
    <d v="2023-05-04T00:00:00"/>
    <s v="CUST003"/>
    <s v="PROD013"/>
    <s v="Home"/>
    <s v="Vacuum Cleaner"/>
    <x v="0"/>
    <n v="195"/>
    <n v="4"/>
    <n v="780"/>
    <s v="PayPal"/>
    <s v="Cancelled"/>
    <s v="FedEx"/>
    <s v="Cancelled"/>
    <m/>
    <n v="1"/>
    <n v="0"/>
    <n v="0"/>
    <s v=""/>
    <n v="0"/>
  </r>
  <r>
    <n v="1"/>
    <s v="ORD0060"/>
    <d v="2023-11-10T00:00:00"/>
    <m/>
    <d v="2023-12-10T00:00:00"/>
    <s v="CUST019"/>
    <s v="PROD019"/>
    <s v="Fashion"/>
    <s v="Formal Shirt"/>
    <x v="4"/>
    <n v="44"/>
    <n v="5"/>
    <n v="220"/>
    <s v="Apple Pay"/>
    <s v="Cancelled"/>
    <s v="USPS"/>
    <s v="Cancelled"/>
    <m/>
    <n v="1"/>
    <n v="0"/>
    <n v="0"/>
    <s v=""/>
    <n v="0"/>
  </r>
  <r>
    <n v="1"/>
    <s v="ORD0061"/>
    <d v="2023-10-09T00:00:00"/>
    <m/>
    <m/>
    <s v="CUST035"/>
    <s v="PROD008"/>
    <s v="Books"/>
    <s v="Textbook"/>
    <x v="1"/>
    <n v="69"/>
    <n v="4"/>
    <n v="276"/>
    <s v="Debit Card"/>
    <s v="In Transit"/>
    <s v="DHL"/>
    <s v="Active"/>
    <m/>
    <n v="0"/>
    <n v="0"/>
    <n v="0"/>
    <s v=""/>
    <n v="0"/>
  </r>
  <r>
    <n v="1"/>
    <s v="ORD0062"/>
    <d v="2023-11-22T00:00:00"/>
    <d v="2023-11-29T00:00:00"/>
    <m/>
    <s v="CUST022"/>
    <s v="PROD001"/>
    <s v="Electronics"/>
    <s v="Smartphone"/>
    <x v="0"/>
    <n v="815"/>
    <n v="4"/>
    <n v="3260"/>
    <s v="Credit Card"/>
    <s v="Delivered"/>
    <s v="USPS"/>
    <s v="Active"/>
    <n v="7"/>
    <n v="0"/>
    <n v="1"/>
    <n v="3260"/>
    <s v="Slow"/>
    <n v="0"/>
  </r>
  <r>
    <n v="1"/>
    <s v="ORD0063"/>
    <d v="2023-02-05T00:00:00"/>
    <m/>
    <m/>
    <s v="CUST004"/>
    <s v="PROD005"/>
    <s v="Fashion"/>
    <s v="T-Shirt"/>
    <x v="1"/>
    <n v="27"/>
    <n v="1"/>
    <n v="27"/>
    <s v="Debit Card"/>
    <s v="In Transit"/>
    <s v="Amazon Logistics"/>
    <s v="Active"/>
    <m/>
    <n v="0"/>
    <n v="0"/>
    <n v="0"/>
    <s v=""/>
    <n v="0"/>
  </r>
  <r>
    <n v="1"/>
    <s v="ORD0064"/>
    <d v="2023-12-01T00:00:00"/>
    <d v="2023-12-29T00:00:00"/>
    <m/>
    <s v="CUST048"/>
    <s v="PROD003"/>
    <s v="Home"/>
    <s v="Cookware Set"/>
    <x v="4"/>
    <n v="139"/>
    <n v="5"/>
    <n v="695"/>
    <s v="Apple Pay"/>
    <s v="Delivered"/>
    <s v="USPS"/>
    <s v="Active"/>
    <n v="28"/>
    <n v="0"/>
    <n v="1"/>
    <n v="695"/>
    <s v="Slow"/>
    <n v="0"/>
  </r>
  <r>
    <n v="1"/>
    <s v="ORD0065"/>
    <d v="2023-10-18T00:00:00"/>
    <m/>
    <d v="2023-10-20T00:00:00"/>
    <s v="CUST009"/>
    <s v="PROD008"/>
    <s v="Books"/>
    <s v="Textbook"/>
    <x v="2"/>
    <n v="69"/>
    <n v="3"/>
    <n v="207"/>
    <s v="PayPal"/>
    <s v="Cancelled"/>
    <s v="Amazon Logistics"/>
    <s v="Cancelled"/>
    <m/>
    <n v="1"/>
    <n v="0"/>
    <n v="0"/>
    <s v=""/>
    <n v="0"/>
  </r>
  <r>
    <n v="1"/>
    <s v="ORD0066"/>
    <d v="2023-05-20T00:00:00"/>
    <m/>
    <d v="2023-05-21T00:00:00"/>
    <s v="CUST009"/>
    <s v="PROD019"/>
    <s v="Fashion"/>
    <s v="Formal Shirt"/>
    <x v="4"/>
    <n v="42"/>
    <n v="1"/>
    <n v="42"/>
    <s v="Apple Pay"/>
    <s v="Cancelled"/>
    <s v="DHL"/>
    <s v="Cancelled"/>
    <m/>
    <n v="1"/>
    <n v="0"/>
    <n v="0"/>
    <s v=""/>
    <n v="0"/>
  </r>
  <r>
    <n v="1"/>
    <s v="ORD0067"/>
    <d v="2023-07-28T00:00:00"/>
    <d v="2023-07-30T00:00:00"/>
    <m/>
    <s v="CUST050"/>
    <s v="PROD007"/>
    <s v="Toys"/>
    <s v="Puzzle"/>
    <x v="0"/>
    <n v="31"/>
    <n v="4"/>
    <n v="124"/>
    <s v="Credit Card"/>
    <s v="Delivered"/>
    <s v="UPS"/>
    <s v="Active"/>
    <n v="2"/>
    <n v="0"/>
    <n v="1"/>
    <n v="124"/>
    <s v="Fast"/>
    <n v="1"/>
  </r>
  <r>
    <n v="1"/>
    <s v="ORD0068"/>
    <d v="2023-12-18T00:00:00"/>
    <m/>
    <m/>
    <s v="CUST045"/>
    <s v="PROD020"/>
    <s v="Electronics"/>
    <s v="Bluetooth Speaker"/>
    <x v="4"/>
    <n v="104"/>
    <n v="3"/>
    <n v="312"/>
    <s v="Credit Card"/>
    <s v="In Transit"/>
    <s v="UPS"/>
    <s v="Active"/>
    <m/>
    <n v="0"/>
    <n v="0"/>
    <n v="0"/>
    <s v=""/>
    <n v="0"/>
  </r>
  <r>
    <n v="1"/>
    <s v="ORD0069"/>
    <d v="2023-02-07T00:00:00"/>
    <m/>
    <d v="2023-07-07T00:00:00"/>
    <s v="CUST044"/>
    <s v="PROD010"/>
    <s v="Fashion"/>
    <s v="Jeans"/>
    <x v="1"/>
    <n v="58"/>
    <n v="2"/>
    <n v="116"/>
    <s v="Apple Pay"/>
    <s v="Cancelled"/>
    <s v="USPS"/>
    <s v="Cancelled"/>
    <m/>
    <n v="1"/>
    <n v="0"/>
    <n v="0"/>
    <s v=""/>
    <n v="0"/>
  </r>
  <r>
    <n v="1"/>
    <s v="ORD0070"/>
    <d v="2023-09-10T00:00:00"/>
    <m/>
    <d v="2023-10-10T00:00:00"/>
    <s v="CUST009"/>
    <s v="PROD004"/>
    <s v="Toys"/>
    <s v="Leg Set"/>
    <x v="4"/>
    <n v="62"/>
    <n v="2"/>
    <n v="124"/>
    <s v="Debit Card"/>
    <s v="Cancelled"/>
    <s v="DHL"/>
    <s v="Cancelled"/>
    <m/>
    <n v="1"/>
    <n v="0"/>
    <n v="0"/>
    <s v=""/>
    <n v="0"/>
  </r>
  <r>
    <n v="1"/>
    <s v="ORD0071"/>
    <d v="2023-12-18T00:00:00"/>
    <d v="2023-12-25T00:00:00"/>
    <m/>
    <s v="CUST006"/>
    <s v="PROD019"/>
    <s v="Fashion"/>
    <s v="Formal Shirt"/>
    <x v="1"/>
    <n v="43"/>
    <n v="1"/>
    <n v="43"/>
    <s v="Credit Card"/>
    <s v="Delivered"/>
    <s v="Amazon Logistics"/>
    <s v="Active"/>
    <n v="7"/>
    <n v="0"/>
    <n v="1"/>
    <n v="43"/>
    <s v="Slow"/>
    <n v="0"/>
  </r>
  <r>
    <n v="1"/>
    <s v="ORD0072"/>
    <d v="2023-07-03T00:00:00"/>
    <m/>
    <m/>
    <s v="CUST022"/>
    <s v="PROD004"/>
    <s v="Toys"/>
    <s v="Leg Set"/>
    <x v="1"/>
    <n v="62"/>
    <n v="4"/>
    <n v="248"/>
    <s v="Debit Card"/>
    <s v="In Transit"/>
    <s v="Amazon Logistics"/>
    <s v="Active"/>
    <m/>
    <n v="0"/>
    <n v="0"/>
    <n v="0"/>
    <s v=""/>
    <n v="0"/>
  </r>
  <r>
    <n v="1"/>
    <s v="ORD0073"/>
    <d v="2023-07-22T00:00:00"/>
    <m/>
    <d v="2023-07-25T00:00:00"/>
    <s v="CUST028"/>
    <s v="PROD006"/>
    <s v="Fashion"/>
    <s v="Shoes"/>
    <x v="0"/>
    <n v="95"/>
    <n v="2"/>
    <n v="190"/>
    <s v="PayPal"/>
    <s v="Cancelled"/>
    <s v="UPS"/>
    <s v="Cancelled"/>
    <m/>
    <n v="1"/>
    <n v="0"/>
    <n v="0"/>
    <s v=""/>
    <n v="0"/>
  </r>
  <r>
    <n v="1"/>
    <s v="ORD0074"/>
    <d v="2023-01-18T00:00:00"/>
    <d v="2023-01-24T00:00:00"/>
    <m/>
    <s v="CUST016"/>
    <s v="PROD021"/>
    <s v="Home"/>
    <s v="Wall Clock"/>
    <x v="3"/>
    <n v="36"/>
    <n v="4"/>
    <n v="144"/>
    <s v="Apple Pay"/>
    <s v="Delivered"/>
    <s v="FedEx"/>
    <s v="Active"/>
    <n v="6"/>
    <n v="0"/>
    <n v="1"/>
    <n v="144"/>
    <s v="Slow"/>
    <n v="0"/>
  </r>
  <r>
    <n v="1"/>
    <s v="ORD0075"/>
    <d v="2023-05-24T00:00:00"/>
    <m/>
    <m/>
    <s v="CUST042"/>
    <s v="PROD017"/>
    <s v="Electronics"/>
    <s v="Gaming Mouse"/>
    <x v="1"/>
    <n v="73"/>
    <n v="5"/>
    <n v="365"/>
    <s v="Apple Pay"/>
    <s v="In Transit"/>
    <s v="DHL"/>
    <s v="Active"/>
    <m/>
    <n v="0"/>
    <n v="0"/>
    <n v="0"/>
    <s v=""/>
    <n v="0"/>
  </r>
  <r>
    <n v="1"/>
    <s v="ORD0076"/>
    <d v="2023-09-03T00:00:00"/>
    <d v="2023-09-09T00:00:00"/>
    <m/>
    <s v="CUST023"/>
    <s v="PROD019"/>
    <s v="Fashion"/>
    <s v="Formal Shirt"/>
    <x v="0"/>
    <n v="43"/>
    <n v="4"/>
    <n v="172"/>
    <s v="Debit Card"/>
    <s v="Delivered"/>
    <s v="DHL"/>
    <s v="Active"/>
    <n v="6"/>
    <n v="0"/>
    <n v="1"/>
    <n v="172"/>
    <s v="Slow"/>
    <n v="0"/>
  </r>
  <r>
    <n v="1"/>
    <s v="ORD0077"/>
    <d v="2023-11-02T00:00:00"/>
    <d v="2023-11-04T00:00:00"/>
    <m/>
    <s v="CUST004"/>
    <s v="PROD016"/>
    <s v="Home"/>
    <s v="Cookware Set Pro"/>
    <x v="4"/>
    <n v="214"/>
    <n v="5"/>
    <n v="1070"/>
    <s v="Debit Card"/>
    <s v="Delivered"/>
    <s v="UPS"/>
    <s v="Active"/>
    <n v="2"/>
    <n v="0"/>
    <n v="1"/>
    <n v="1070"/>
    <s v="Fast"/>
    <n v="1"/>
  </r>
  <r>
    <n v="1"/>
    <s v="ORD0078"/>
    <d v="2023-03-12T00:00:00"/>
    <m/>
    <d v="2023-06-12T00:00:00"/>
    <s v="CUST048"/>
    <s v="PROD002"/>
    <s v="Toys"/>
    <s v="Action Figure"/>
    <x v="3"/>
    <n v="42"/>
    <n v="2"/>
    <n v="84"/>
    <s v="Apple Pay"/>
    <s v="Cancelled"/>
    <s v="UPS"/>
    <s v="Cancelled"/>
    <m/>
    <n v="1"/>
    <n v="0"/>
    <n v="0"/>
    <s v=""/>
    <n v="0"/>
  </r>
  <r>
    <n v="1"/>
    <s v="ORD0079"/>
    <d v="2023-01-04T00:00:00"/>
    <m/>
    <m/>
    <s v="CUST048"/>
    <s v="PROD012"/>
    <s v="Home"/>
    <s v="Lamp"/>
    <x v="0"/>
    <n v="46"/>
    <n v="1"/>
    <n v="46"/>
    <s v="Amazon Pay"/>
    <s v="In Transit"/>
    <s v="UPS"/>
    <s v="Active"/>
    <m/>
    <n v="0"/>
    <n v="0"/>
    <n v="0"/>
    <s v=""/>
    <n v="0"/>
  </r>
  <r>
    <n v="1"/>
    <s v="ORD0080"/>
    <d v="2023-10-16T00:00:00"/>
    <d v="2023-10-19T00:00:00"/>
    <m/>
    <s v="CUST032"/>
    <s v="PROD018"/>
    <s v="Toys"/>
    <s v="Doll House"/>
    <x v="1"/>
    <n v="95"/>
    <n v="4"/>
    <n v="380"/>
    <s v="Credit Card"/>
    <s v="Delivered"/>
    <s v="UPS"/>
    <s v="Active"/>
    <n v="3"/>
    <n v="0"/>
    <n v="1"/>
    <n v="380"/>
    <s v="Slow"/>
    <n v="0"/>
  </r>
  <r>
    <n v="1"/>
    <s v="ORD0081"/>
    <d v="2023-05-11T00:00:00"/>
    <m/>
    <m/>
    <s v="CUST001"/>
    <s v="PROD011"/>
    <s v="Electronics"/>
    <s v="Headphones"/>
    <x v="4"/>
    <n v="174"/>
    <n v="2"/>
    <n v="348"/>
    <s v="PayPal"/>
    <s v="In Transit"/>
    <s v="UPS"/>
    <s v="Active"/>
    <m/>
    <n v="0"/>
    <n v="0"/>
    <n v="0"/>
    <s v=""/>
    <n v="0"/>
  </r>
  <r>
    <n v="1"/>
    <s v="ORD0082"/>
    <d v="2023-06-15T00:00:00"/>
    <m/>
    <d v="2023-06-18T00:00:00"/>
    <s v="CUST046"/>
    <s v="PROD005"/>
    <s v="Fashion"/>
    <s v="T-Shirt"/>
    <x v="0"/>
    <n v="27"/>
    <n v="5"/>
    <n v="135"/>
    <s v="Credit Card"/>
    <s v="Cancelled"/>
    <s v="Amazon Logistics"/>
    <s v="Cancelled"/>
    <m/>
    <n v="1"/>
    <n v="0"/>
    <n v="0"/>
    <s v=""/>
    <n v="0"/>
  </r>
  <r>
    <n v="1"/>
    <s v="ORD0083"/>
    <d v="2023-10-28T00:00:00"/>
    <d v="2023-10-30T00:00:00"/>
    <m/>
    <s v="CUST021"/>
    <s v="PROD005"/>
    <s v="Fashion"/>
    <s v="T-Shirt"/>
    <x v="2"/>
    <n v="27"/>
    <n v="4"/>
    <n v="108"/>
    <s v="PayPal"/>
    <s v="Delivered"/>
    <s v="USPS"/>
    <s v="Active"/>
    <n v="2"/>
    <n v="0"/>
    <n v="1"/>
    <n v="108"/>
    <s v="Fast"/>
    <n v="1"/>
  </r>
  <r>
    <n v="1"/>
    <s v="ORD0084"/>
    <d v="2023-01-12T00:00:00"/>
    <m/>
    <m/>
    <s v="CUST015"/>
    <s v="PROD022"/>
    <s v="Fashion"/>
    <s v="Backpack"/>
    <x v="2"/>
    <n v="65"/>
    <n v="2"/>
    <n v="130"/>
    <s v="PayPal"/>
    <s v="In Transit"/>
    <s v="DHL"/>
    <s v="Active"/>
    <m/>
    <n v="0"/>
    <n v="0"/>
    <n v="0"/>
    <s v=""/>
    <n v="0"/>
  </r>
  <r>
    <n v="1"/>
    <s v="ORD0085"/>
    <d v="2023-07-03T00:00:00"/>
    <m/>
    <m/>
    <s v="CUST045"/>
    <s v="PROD019"/>
    <s v="Fashion"/>
    <s v="Formal Shirt"/>
    <x v="1"/>
    <n v="43"/>
    <n v="5"/>
    <n v="215"/>
    <s v="Debit Card"/>
    <s v="In Transit"/>
    <s v="DHL"/>
    <s v="Active"/>
    <m/>
    <n v="0"/>
    <n v="0"/>
    <n v="0"/>
    <s v=""/>
    <n v="0"/>
  </r>
  <r>
    <n v="1"/>
    <s v="ORD0086"/>
    <d v="2023-10-11T00:00:00"/>
    <m/>
    <m/>
    <s v="CUST007"/>
    <s v="PROD016"/>
    <s v="Home"/>
    <s v="Cookware Set Pro"/>
    <x v="4"/>
    <n v="210"/>
    <n v="1"/>
    <n v="210"/>
    <s v="PayPal"/>
    <s v="In Transit"/>
    <s v="UPS"/>
    <s v="Active"/>
    <m/>
    <n v="0"/>
    <n v="0"/>
    <n v="0"/>
    <s v=""/>
    <n v="0"/>
  </r>
  <r>
    <n v="1"/>
    <s v="ORD0087"/>
    <d v="2023-11-22T00:00:00"/>
    <m/>
    <m/>
    <s v="CUST043"/>
    <s v="PROD021"/>
    <s v="Home"/>
    <s v="Wall Clock"/>
    <x v="2"/>
    <n v="37"/>
    <n v="3"/>
    <n v="111"/>
    <s v="Credit Card"/>
    <s v="In Transit"/>
    <s v="UPS"/>
    <s v="Active"/>
    <m/>
    <n v="0"/>
    <n v="0"/>
    <n v="0"/>
    <s v=""/>
    <n v="0"/>
  </r>
  <r>
    <n v="1"/>
    <s v="ORD0088"/>
    <d v="2023-08-05T00:00:00"/>
    <m/>
    <m/>
    <s v="CUST007"/>
    <s v="PROD001"/>
    <s v="Electronics"/>
    <s v="Smartphone"/>
    <x v="2"/>
    <n v="788"/>
    <n v="4"/>
    <n v="3152"/>
    <s v="Debit Card"/>
    <s v="In Transit"/>
    <s v="Amazon Logistics"/>
    <s v="Active"/>
    <m/>
    <n v="0"/>
    <n v="0"/>
    <n v="0"/>
    <s v=""/>
    <n v="0"/>
  </r>
  <r>
    <n v="1"/>
    <s v="ORD0089"/>
    <d v="2023-07-13T00:00:00"/>
    <m/>
    <m/>
    <s v="CUST007"/>
    <s v="PROD016"/>
    <s v="Home"/>
    <s v="Cookware Set Pro"/>
    <x v="4"/>
    <n v="217"/>
    <n v="5"/>
    <n v="1085"/>
    <s v="Debit Card"/>
    <s v="In Transit"/>
    <s v="FedEx"/>
    <s v="Active"/>
    <m/>
    <n v="0"/>
    <n v="0"/>
    <n v="0"/>
    <s v=""/>
    <n v="0"/>
  </r>
  <r>
    <n v="1"/>
    <s v="ORD0090"/>
    <d v="2023-01-18T00:00:00"/>
    <m/>
    <m/>
    <s v="CUST007"/>
    <s v="PROD003"/>
    <s v="Home"/>
    <s v="Cookware Set"/>
    <x v="4"/>
    <n v="138"/>
    <n v="4"/>
    <n v="552"/>
    <s v="Credit Card"/>
    <s v="In Transit"/>
    <s v="FedEx"/>
    <s v="Active"/>
    <m/>
    <n v="0"/>
    <n v="0"/>
    <n v="0"/>
    <s v=""/>
    <n v="0"/>
  </r>
  <r>
    <n v="1"/>
    <s v="ORD0091"/>
    <d v="2023-06-23T00:00:00"/>
    <d v="2023-06-29T00:00:00"/>
    <m/>
    <s v="CUST031"/>
    <s v="PROD001"/>
    <s v="Electronics"/>
    <s v="Smartphone"/>
    <x v="3"/>
    <n v="803"/>
    <n v="2"/>
    <n v="1606"/>
    <s v="Apple Pay"/>
    <s v="Delivered"/>
    <s v="FedEx"/>
    <s v="Active"/>
    <n v="6"/>
    <n v="0"/>
    <n v="1"/>
    <n v="1606"/>
    <s v="Slow"/>
    <n v="0"/>
  </r>
  <r>
    <n v="1"/>
    <s v="ORD0092"/>
    <d v="2023-02-21T00:00:00"/>
    <m/>
    <d v="2023-02-25T00:00:00"/>
    <s v="CUST013"/>
    <s v="PROD014"/>
    <s v="Electronics"/>
    <s v="Smartwatch"/>
    <x v="0"/>
    <n v="248"/>
    <n v="5"/>
    <n v="1240"/>
    <s v="PayPal"/>
    <s v="Cancelled"/>
    <s v="UPS"/>
    <s v="Cancelled"/>
    <m/>
    <n v="1"/>
    <n v="0"/>
    <n v="0"/>
    <s v=""/>
    <n v="0"/>
  </r>
  <r>
    <n v="1"/>
    <s v="ORD0093"/>
    <d v="2023-02-19T00:00:00"/>
    <d v="2023-02-21T00:00:00"/>
    <m/>
    <s v="CUST036"/>
    <s v="PROD016"/>
    <s v="Home"/>
    <s v="Cookware Set Pro"/>
    <x v="1"/>
    <n v="210"/>
    <n v="3"/>
    <n v="630"/>
    <s v="Apple Pay"/>
    <s v="Delivered"/>
    <s v="DHL"/>
    <s v="Active"/>
    <n v="2"/>
    <n v="0"/>
    <n v="1"/>
    <n v="630"/>
    <s v="Fast"/>
    <n v="1"/>
  </r>
  <r>
    <n v="1"/>
    <s v="ORD0094"/>
    <d v="2023-10-02T00:00:00"/>
    <m/>
    <d v="2023-12-12T00:00:00"/>
    <s v="CUST013"/>
    <s v="PROD004"/>
    <s v="Toys"/>
    <s v="Leg Set"/>
    <x v="0"/>
    <n v="62"/>
    <n v="2"/>
    <n v="124"/>
    <s v="Credit Card"/>
    <s v="Cancelled"/>
    <s v="FedEx"/>
    <s v="Cancelled"/>
    <m/>
    <n v="1"/>
    <n v="0"/>
    <n v="0"/>
    <s v=""/>
    <n v="0"/>
  </r>
  <r>
    <n v="1"/>
    <s v="ORD0095"/>
    <d v="2023-06-07T00:00:00"/>
    <m/>
    <d v="2023-06-12T00:00:00"/>
    <s v="CUST043"/>
    <s v="PROD009"/>
    <s v="Books"/>
    <s v="Magazine"/>
    <x v="2"/>
    <n v="11"/>
    <n v="5"/>
    <n v="55"/>
    <s v="Debit Card"/>
    <s v="Cancelled"/>
    <s v="Amazon Logistics"/>
    <s v="Cancelled"/>
    <m/>
    <n v="1"/>
    <n v="0"/>
    <n v="0"/>
    <s v=""/>
    <n v="0"/>
  </r>
  <r>
    <n v="1"/>
    <s v="ORD0096"/>
    <d v="2023-07-09T00:00:00"/>
    <d v="2023-07-12T00:00:00"/>
    <m/>
    <s v="CUST017"/>
    <s v="PROD015"/>
    <s v="Books"/>
    <s v="Novel"/>
    <x v="0"/>
    <n v="21"/>
    <n v="2"/>
    <n v="42"/>
    <s v="Amazon Pay"/>
    <s v="Delivered"/>
    <s v="UPS"/>
    <s v="Active"/>
    <n v="3"/>
    <n v="0"/>
    <n v="1"/>
    <n v="42"/>
    <s v="Slow"/>
    <n v="0"/>
  </r>
  <r>
    <n v="1"/>
    <s v="ORD0097"/>
    <d v="2023-12-23T00:00:00"/>
    <d v="2023-12-26T00:00:00"/>
    <m/>
    <s v="CUST023"/>
    <s v="PROD018"/>
    <s v="Toys"/>
    <s v="Doll House"/>
    <x v="4"/>
    <n v="95"/>
    <n v="5"/>
    <n v="475"/>
    <s v="Amazon Pay"/>
    <s v="Delivered"/>
    <s v="Amazon Logistics"/>
    <s v="Active"/>
    <n v="3"/>
    <n v="0"/>
    <n v="1"/>
    <n v="475"/>
    <s v="Slow"/>
    <n v="0"/>
  </r>
  <r>
    <n v="1"/>
    <s v="ORD0098"/>
    <d v="2023-09-25T00:00:00"/>
    <d v="2023-09-30T00:00:00"/>
    <m/>
    <s v="CUST044"/>
    <s v="PROD016"/>
    <s v="Home"/>
    <s v="Cookware Set Pro"/>
    <x v="2"/>
    <n v="215"/>
    <n v="2"/>
    <n v="430"/>
    <s v="PayPal"/>
    <s v="Delivered"/>
    <s v="Amazon Logistics"/>
    <s v="Active"/>
    <n v="5"/>
    <n v="0"/>
    <n v="1"/>
    <n v="430"/>
    <s v="Slow"/>
    <n v="0"/>
  </r>
  <r>
    <n v="1"/>
    <s v="ORD0099"/>
    <d v="2023-01-18T00:00:00"/>
    <m/>
    <d v="2023-01-24T00:00:00"/>
    <s v="CUST034"/>
    <s v="PROD019"/>
    <s v="Fashion"/>
    <s v="Formal Shirt"/>
    <x v="4"/>
    <n v="43"/>
    <n v="5"/>
    <n v="215"/>
    <s v="Credit Card"/>
    <s v="Cancelled"/>
    <s v="UPS"/>
    <s v="Cancelled"/>
    <m/>
    <n v="1"/>
    <n v="0"/>
    <n v="0"/>
    <s v=""/>
    <n v="0"/>
  </r>
  <r>
    <n v="1"/>
    <s v="ORD0100"/>
    <d v="2023-03-27T00:00:00"/>
    <m/>
    <m/>
    <s v="CUST009"/>
    <s v="PROD002"/>
    <s v="Toys"/>
    <s v="Action Figure"/>
    <x v="4"/>
    <n v="42"/>
    <n v="4"/>
    <n v="168"/>
    <s v="Debit Card"/>
    <s v="In Transit"/>
    <s v="DHL"/>
    <s v="Active"/>
    <m/>
    <n v="0"/>
    <n v="0"/>
    <n v="0"/>
    <s v=""/>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
    <x v="0"/>
    <x v="0"/>
    <x v="0"/>
    <x v="0"/>
    <s v="CUST021"/>
    <s v="PROD012"/>
    <x v="0"/>
    <x v="0"/>
    <x v="0"/>
    <n v="44"/>
    <n v="1"/>
    <n v="44"/>
    <x v="0"/>
    <x v="0"/>
    <s v="DHL"/>
    <s v="Cancelled"/>
    <m/>
    <n v="1"/>
    <n v="0"/>
    <n v="0"/>
    <s v=""/>
    <n v="0"/>
  </r>
  <r>
    <n v="1"/>
    <x v="1"/>
    <x v="1"/>
    <x v="1"/>
    <x v="1"/>
    <s v="CUST029"/>
    <s v="PROD018"/>
    <x v="1"/>
    <x v="1"/>
    <x v="1"/>
    <n v="96"/>
    <n v="4"/>
    <n v="384"/>
    <x v="1"/>
    <x v="1"/>
    <s v="DHL"/>
    <s v="Active"/>
    <n v="2"/>
    <n v="0"/>
    <n v="1"/>
    <n v="384"/>
    <s v="Fast"/>
    <n v="1"/>
  </r>
  <r>
    <n v="1"/>
    <x v="2"/>
    <x v="2"/>
    <x v="0"/>
    <x v="1"/>
    <s v="CUST021"/>
    <s v="PROD013"/>
    <x v="0"/>
    <x v="2"/>
    <x v="2"/>
    <n v="194"/>
    <n v="4"/>
    <n v="776"/>
    <x v="1"/>
    <x v="2"/>
    <s v="USPS"/>
    <s v="Active"/>
    <m/>
    <n v="0"/>
    <n v="0"/>
    <n v="0"/>
    <s v=""/>
    <n v="0"/>
  </r>
  <r>
    <n v="1"/>
    <x v="3"/>
    <x v="3"/>
    <x v="0"/>
    <x v="2"/>
    <s v="CUST044"/>
    <s v="PROD013"/>
    <x v="0"/>
    <x v="2"/>
    <x v="0"/>
    <n v="196"/>
    <n v="3"/>
    <n v="588"/>
    <x v="2"/>
    <x v="0"/>
    <s v="UPS"/>
    <s v="Cancelled"/>
    <m/>
    <n v="1"/>
    <n v="0"/>
    <n v="0"/>
    <s v=""/>
    <n v="0"/>
  </r>
  <r>
    <n v="1"/>
    <x v="4"/>
    <x v="4"/>
    <x v="2"/>
    <x v="1"/>
    <s v="CUST027"/>
    <s v="PROD010"/>
    <x v="2"/>
    <x v="3"/>
    <x v="0"/>
    <n v="59"/>
    <n v="1"/>
    <n v="59"/>
    <x v="2"/>
    <x v="1"/>
    <s v="Amazon Logistics"/>
    <s v="Active"/>
    <n v="3"/>
    <n v="0"/>
    <n v="1"/>
    <n v="59"/>
    <s v="Slow"/>
    <n v="0"/>
  </r>
  <r>
    <n v="1"/>
    <x v="5"/>
    <x v="5"/>
    <x v="0"/>
    <x v="3"/>
    <s v="CUST009"/>
    <s v="PROD010"/>
    <x v="2"/>
    <x v="3"/>
    <x v="0"/>
    <n v="58"/>
    <n v="4"/>
    <n v="232"/>
    <x v="3"/>
    <x v="0"/>
    <s v="DHL"/>
    <s v="Cancelled"/>
    <m/>
    <n v="1"/>
    <n v="0"/>
    <n v="0"/>
    <s v=""/>
    <n v="0"/>
  </r>
  <r>
    <n v="1"/>
    <x v="6"/>
    <x v="6"/>
    <x v="0"/>
    <x v="4"/>
    <s v="CUST042"/>
    <s v="PROD020"/>
    <x v="3"/>
    <x v="4"/>
    <x v="3"/>
    <n v="105"/>
    <n v="3"/>
    <n v="315"/>
    <x v="4"/>
    <x v="0"/>
    <s v="DHL"/>
    <s v="Cancelled"/>
    <m/>
    <n v="1"/>
    <n v="0"/>
    <n v="0"/>
    <s v=""/>
    <n v="0"/>
  </r>
  <r>
    <n v="1"/>
    <x v="7"/>
    <x v="7"/>
    <x v="0"/>
    <x v="5"/>
    <s v="CUST019"/>
    <s v="PROD021"/>
    <x v="0"/>
    <x v="5"/>
    <x v="4"/>
    <n v="37"/>
    <n v="5"/>
    <n v="185"/>
    <x v="2"/>
    <x v="0"/>
    <s v="DHL"/>
    <s v="Cancelled"/>
    <m/>
    <n v="1"/>
    <n v="0"/>
    <n v="0"/>
    <s v=""/>
    <n v="0"/>
  </r>
  <r>
    <n v="1"/>
    <x v="8"/>
    <x v="8"/>
    <x v="0"/>
    <x v="1"/>
    <s v="CUST013"/>
    <s v="PROD019"/>
    <x v="2"/>
    <x v="6"/>
    <x v="3"/>
    <n v="44"/>
    <n v="2"/>
    <n v="88"/>
    <x v="1"/>
    <x v="2"/>
    <s v="Amazon Logistics"/>
    <s v="Active"/>
    <m/>
    <n v="0"/>
    <n v="0"/>
    <n v="0"/>
    <s v=""/>
    <n v="0"/>
  </r>
  <r>
    <n v="1"/>
    <x v="9"/>
    <x v="9"/>
    <x v="0"/>
    <x v="1"/>
    <s v="CUST019"/>
    <s v="PROD003"/>
    <x v="0"/>
    <x v="7"/>
    <x v="2"/>
    <n v="141"/>
    <n v="4"/>
    <n v="564"/>
    <x v="4"/>
    <x v="2"/>
    <s v="DHL"/>
    <s v="Active"/>
    <m/>
    <n v="0"/>
    <n v="0"/>
    <n v="0"/>
    <s v=""/>
    <n v="0"/>
  </r>
  <r>
    <n v="1"/>
    <x v="10"/>
    <x v="10"/>
    <x v="0"/>
    <x v="6"/>
    <s v="CUST046"/>
    <s v="PROD014"/>
    <x v="3"/>
    <x v="8"/>
    <x v="2"/>
    <n v="249"/>
    <n v="1"/>
    <n v="249"/>
    <x v="3"/>
    <x v="0"/>
    <s v="USPS"/>
    <s v="Cancelled"/>
    <m/>
    <n v="1"/>
    <n v="0"/>
    <n v="0"/>
    <s v=""/>
    <n v="0"/>
  </r>
  <r>
    <n v="1"/>
    <x v="11"/>
    <x v="11"/>
    <x v="0"/>
    <x v="1"/>
    <s v="CUST045"/>
    <s v="PROD014"/>
    <x v="3"/>
    <x v="8"/>
    <x v="3"/>
    <n v="247"/>
    <n v="3"/>
    <n v="741"/>
    <x v="3"/>
    <x v="2"/>
    <s v="FedEx"/>
    <s v="Active"/>
    <m/>
    <n v="0"/>
    <n v="0"/>
    <n v="0"/>
    <s v=""/>
    <n v="0"/>
  </r>
  <r>
    <n v="1"/>
    <x v="12"/>
    <x v="12"/>
    <x v="0"/>
    <x v="7"/>
    <s v="CUST023"/>
    <s v="PROD006"/>
    <x v="2"/>
    <x v="9"/>
    <x v="3"/>
    <n v="96"/>
    <n v="1"/>
    <n v="96"/>
    <x v="0"/>
    <x v="0"/>
    <s v="Amazon Logistics"/>
    <s v="Cancelled"/>
    <m/>
    <n v="1"/>
    <n v="0"/>
    <n v="0"/>
    <s v=""/>
    <n v="0"/>
  </r>
  <r>
    <n v="1"/>
    <x v="13"/>
    <x v="13"/>
    <x v="0"/>
    <x v="8"/>
    <s v="CUST033"/>
    <s v="PROD017"/>
    <x v="3"/>
    <x v="10"/>
    <x v="4"/>
    <n v="74"/>
    <n v="5"/>
    <n v="370"/>
    <x v="0"/>
    <x v="0"/>
    <s v="Amazon Logistics"/>
    <s v="Cancelled"/>
    <m/>
    <n v="1"/>
    <n v="0"/>
    <n v="0"/>
    <s v=""/>
    <n v="0"/>
  </r>
  <r>
    <n v="1"/>
    <x v="14"/>
    <x v="14"/>
    <x v="0"/>
    <x v="9"/>
    <s v="CUST033"/>
    <s v="PROD005"/>
    <x v="2"/>
    <x v="11"/>
    <x v="2"/>
    <n v="27"/>
    <n v="1"/>
    <n v="27"/>
    <x v="1"/>
    <x v="0"/>
    <s v="Amazon Logistics"/>
    <s v="Cancelled"/>
    <m/>
    <n v="1"/>
    <n v="0"/>
    <n v="0"/>
    <s v=""/>
    <n v="0"/>
  </r>
  <r>
    <n v="1"/>
    <x v="15"/>
    <x v="15"/>
    <x v="0"/>
    <x v="1"/>
    <s v="CUST047"/>
    <s v="PROD005"/>
    <x v="2"/>
    <x v="11"/>
    <x v="2"/>
    <n v="27"/>
    <n v="3"/>
    <n v="81"/>
    <x v="4"/>
    <x v="2"/>
    <s v="Amazon Logistics"/>
    <s v="Active"/>
    <m/>
    <n v="0"/>
    <n v="0"/>
    <n v="0"/>
    <s v=""/>
    <n v="0"/>
  </r>
  <r>
    <n v="1"/>
    <x v="16"/>
    <x v="16"/>
    <x v="3"/>
    <x v="1"/>
    <s v="CUST045"/>
    <s v="PROD015"/>
    <x v="4"/>
    <x v="12"/>
    <x v="1"/>
    <n v="21"/>
    <n v="3"/>
    <n v="63"/>
    <x v="1"/>
    <x v="1"/>
    <s v="DHL"/>
    <s v="Active"/>
    <n v="3"/>
    <n v="0"/>
    <n v="1"/>
    <n v="63"/>
    <s v="Slow"/>
    <n v="0"/>
  </r>
  <r>
    <n v="1"/>
    <x v="17"/>
    <x v="17"/>
    <x v="0"/>
    <x v="1"/>
    <s v="CUST011"/>
    <s v="PROD008"/>
    <x v="4"/>
    <x v="13"/>
    <x v="4"/>
    <n v="70"/>
    <n v="5"/>
    <n v="350"/>
    <x v="2"/>
    <x v="2"/>
    <s v="Amazon Logistics"/>
    <s v="Active"/>
    <m/>
    <n v="0"/>
    <n v="0"/>
    <n v="0"/>
    <s v=""/>
    <n v="0"/>
  </r>
  <r>
    <n v="1"/>
    <x v="18"/>
    <x v="18"/>
    <x v="0"/>
    <x v="1"/>
    <s v="CUST041"/>
    <s v="PROD006"/>
    <x v="2"/>
    <x v="9"/>
    <x v="2"/>
    <n v="94"/>
    <n v="4"/>
    <n v="376"/>
    <x v="1"/>
    <x v="2"/>
    <s v="USPS"/>
    <s v="Active"/>
    <m/>
    <n v="0"/>
    <n v="0"/>
    <n v="0"/>
    <s v=""/>
    <n v="0"/>
  </r>
  <r>
    <n v="1"/>
    <x v="19"/>
    <x v="19"/>
    <x v="0"/>
    <x v="1"/>
    <s v="CUST025"/>
    <s v="PROD001"/>
    <x v="3"/>
    <x v="14"/>
    <x v="0"/>
    <n v="813"/>
    <n v="2"/>
    <n v="1626"/>
    <x v="1"/>
    <x v="2"/>
    <s v="FedEx"/>
    <s v="Active"/>
    <m/>
    <n v="0"/>
    <n v="0"/>
    <n v="0"/>
    <s v=""/>
    <n v="0"/>
  </r>
  <r>
    <n v="1"/>
    <x v="20"/>
    <x v="20"/>
    <x v="0"/>
    <x v="1"/>
    <s v="CUST013"/>
    <s v="PROD015"/>
    <x v="4"/>
    <x v="12"/>
    <x v="3"/>
    <n v="21"/>
    <n v="4"/>
    <n v="84"/>
    <x v="2"/>
    <x v="2"/>
    <s v="Amazon Logistics"/>
    <s v="Active"/>
    <m/>
    <n v="0"/>
    <n v="0"/>
    <n v="0"/>
    <s v=""/>
    <n v="0"/>
  </r>
  <r>
    <n v="1"/>
    <x v="21"/>
    <x v="21"/>
    <x v="0"/>
    <x v="1"/>
    <s v="CUST023"/>
    <s v="PROD012"/>
    <x v="0"/>
    <x v="0"/>
    <x v="4"/>
    <n v="46"/>
    <n v="5"/>
    <n v="230"/>
    <x v="2"/>
    <x v="2"/>
    <s v="USPS"/>
    <s v="Active"/>
    <m/>
    <n v="0"/>
    <n v="0"/>
    <n v="0"/>
    <s v=""/>
    <n v="0"/>
  </r>
  <r>
    <n v="1"/>
    <x v="22"/>
    <x v="15"/>
    <x v="0"/>
    <x v="10"/>
    <s v="CUST016"/>
    <s v="PROD010"/>
    <x v="2"/>
    <x v="3"/>
    <x v="4"/>
    <n v="58"/>
    <n v="3"/>
    <n v="174"/>
    <x v="3"/>
    <x v="0"/>
    <s v="Amazon Logistics"/>
    <s v="Cancelled"/>
    <m/>
    <n v="1"/>
    <n v="0"/>
    <n v="0"/>
    <s v=""/>
    <n v="0"/>
  </r>
  <r>
    <n v="1"/>
    <x v="23"/>
    <x v="22"/>
    <x v="4"/>
    <x v="1"/>
    <s v="CUST028"/>
    <s v="PROD006"/>
    <x v="2"/>
    <x v="9"/>
    <x v="4"/>
    <n v="96"/>
    <n v="5"/>
    <n v="480"/>
    <x v="3"/>
    <x v="1"/>
    <s v="Amazon Logistics"/>
    <s v="Active"/>
    <n v="3"/>
    <n v="0"/>
    <n v="1"/>
    <n v="480"/>
    <s v="Slow"/>
    <n v="0"/>
  </r>
  <r>
    <n v="1"/>
    <x v="24"/>
    <x v="23"/>
    <x v="5"/>
    <x v="1"/>
    <s v="CUST040"/>
    <s v="PROD002"/>
    <x v="1"/>
    <x v="15"/>
    <x v="2"/>
    <n v="43"/>
    <n v="1"/>
    <n v="43"/>
    <x v="4"/>
    <x v="1"/>
    <s v="Amazon Logistics"/>
    <s v="Active"/>
    <n v="2"/>
    <n v="0"/>
    <n v="1"/>
    <n v="43"/>
    <s v="Fast"/>
    <n v="1"/>
  </r>
  <r>
    <n v="1"/>
    <x v="25"/>
    <x v="24"/>
    <x v="6"/>
    <x v="1"/>
    <s v="CUST027"/>
    <s v="PROD022"/>
    <x v="2"/>
    <x v="16"/>
    <x v="2"/>
    <n v="64"/>
    <n v="4"/>
    <n v="256"/>
    <x v="4"/>
    <x v="1"/>
    <s v="USPS"/>
    <s v="Active"/>
    <n v="6"/>
    <n v="0"/>
    <n v="1"/>
    <n v="256"/>
    <s v="Slow"/>
    <n v="0"/>
  </r>
  <r>
    <n v="1"/>
    <x v="26"/>
    <x v="25"/>
    <x v="0"/>
    <x v="1"/>
    <s v="CUST018"/>
    <s v="PROD008"/>
    <x v="4"/>
    <x v="13"/>
    <x v="2"/>
    <n v="70"/>
    <n v="2"/>
    <n v="140"/>
    <x v="3"/>
    <x v="2"/>
    <s v="Amazon Logistics"/>
    <s v="Active"/>
    <m/>
    <n v="0"/>
    <n v="0"/>
    <n v="0"/>
    <s v=""/>
    <n v="0"/>
  </r>
  <r>
    <n v="1"/>
    <x v="27"/>
    <x v="26"/>
    <x v="0"/>
    <x v="1"/>
    <s v="CUST018"/>
    <s v="PROD018"/>
    <x v="1"/>
    <x v="1"/>
    <x v="3"/>
    <n v="97"/>
    <n v="3"/>
    <n v="291"/>
    <x v="1"/>
    <x v="2"/>
    <s v="Amazon Logistics"/>
    <s v="Active"/>
    <m/>
    <n v="0"/>
    <n v="0"/>
    <n v="0"/>
    <s v=""/>
    <n v="0"/>
  </r>
  <r>
    <n v="1"/>
    <x v="28"/>
    <x v="27"/>
    <x v="0"/>
    <x v="11"/>
    <s v="CUST007"/>
    <s v="PROD021"/>
    <x v="0"/>
    <x v="5"/>
    <x v="1"/>
    <n v="37"/>
    <n v="3"/>
    <n v="111"/>
    <x v="0"/>
    <x v="0"/>
    <s v="DHL"/>
    <s v="Cancelled"/>
    <m/>
    <n v="1"/>
    <n v="0"/>
    <n v="0"/>
    <s v=""/>
    <n v="0"/>
  </r>
  <r>
    <n v="1"/>
    <x v="29"/>
    <x v="28"/>
    <x v="0"/>
    <x v="1"/>
    <s v="CUST008"/>
    <s v="PROD008"/>
    <x v="4"/>
    <x v="13"/>
    <x v="0"/>
    <n v="69"/>
    <n v="5"/>
    <n v="345"/>
    <x v="3"/>
    <x v="2"/>
    <s v="Amazon Logistics"/>
    <s v="Active"/>
    <m/>
    <n v="0"/>
    <n v="0"/>
    <n v="0"/>
    <s v=""/>
    <n v="0"/>
  </r>
  <r>
    <n v="1"/>
    <x v="30"/>
    <x v="29"/>
    <x v="0"/>
    <x v="1"/>
    <s v="CUST014"/>
    <s v="PROD002"/>
    <x v="1"/>
    <x v="15"/>
    <x v="0"/>
    <n v="42"/>
    <n v="5"/>
    <n v="210"/>
    <x v="3"/>
    <x v="2"/>
    <s v="UPS"/>
    <s v="Active"/>
    <m/>
    <n v="0"/>
    <n v="0"/>
    <n v="0"/>
    <s v=""/>
    <n v="0"/>
  </r>
  <r>
    <n v="1"/>
    <x v="31"/>
    <x v="30"/>
    <x v="0"/>
    <x v="12"/>
    <s v="CUST037"/>
    <s v="PROD009"/>
    <x v="4"/>
    <x v="17"/>
    <x v="1"/>
    <n v="11"/>
    <n v="5"/>
    <n v="55"/>
    <x v="4"/>
    <x v="0"/>
    <s v="FedEx"/>
    <s v="Cancelled"/>
    <m/>
    <n v="1"/>
    <n v="0"/>
    <n v="0"/>
    <s v=""/>
    <n v="0"/>
  </r>
  <r>
    <n v="1"/>
    <x v="32"/>
    <x v="31"/>
    <x v="7"/>
    <x v="1"/>
    <s v="CUST016"/>
    <s v="PROD005"/>
    <x v="2"/>
    <x v="11"/>
    <x v="2"/>
    <n v="27"/>
    <n v="2"/>
    <n v="54"/>
    <x v="0"/>
    <x v="1"/>
    <s v="USPS"/>
    <s v="Active"/>
    <n v="1"/>
    <n v="0"/>
    <n v="1"/>
    <n v="54"/>
    <s v="Fast"/>
    <n v="1"/>
  </r>
  <r>
    <n v="1"/>
    <x v="33"/>
    <x v="32"/>
    <x v="0"/>
    <x v="1"/>
    <s v="CUST025"/>
    <s v="PROD015"/>
    <x v="4"/>
    <x v="12"/>
    <x v="2"/>
    <n v="21"/>
    <n v="1"/>
    <n v="21"/>
    <x v="3"/>
    <x v="2"/>
    <s v="DHL"/>
    <s v="Active"/>
    <m/>
    <n v="0"/>
    <n v="0"/>
    <n v="0"/>
    <s v=""/>
    <n v="0"/>
  </r>
  <r>
    <n v="1"/>
    <x v="34"/>
    <x v="33"/>
    <x v="8"/>
    <x v="1"/>
    <s v="CUST032"/>
    <s v="PROD011"/>
    <x v="3"/>
    <x v="18"/>
    <x v="2"/>
    <n v="172"/>
    <n v="1"/>
    <n v="172"/>
    <x v="2"/>
    <x v="1"/>
    <s v="USPS"/>
    <s v="Active"/>
    <n v="25"/>
    <n v="0"/>
    <n v="1"/>
    <n v="172"/>
    <s v="Slow"/>
    <n v="0"/>
  </r>
  <r>
    <n v="1"/>
    <x v="35"/>
    <x v="34"/>
    <x v="0"/>
    <x v="1"/>
    <s v="CUST014"/>
    <s v="PROD016"/>
    <x v="0"/>
    <x v="19"/>
    <x v="0"/>
    <n v="212"/>
    <n v="3"/>
    <n v="636"/>
    <x v="3"/>
    <x v="2"/>
    <s v="UPS"/>
    <s v="Active"/>
    <m/>
    <n v="0"/>
    <n v="0"/>
    <n v="0"/>
    <s v=""/>
    <n v="0"/>
  </r>
  <r>
    <n v="1"/>
    <x v="36"/>
    <x v="35"/>
    <x v="9"/>
    <x v="1"/>
    <s v="CUST044"/>
    <s v="PROD002"/>
    <x v="1"/>
    <x v="15"/>
    <x v="1"/>
    <n v="41"/>
    <n v="4"/>
    <n v="164"/>
    <x v="1"/>
    <x v="1"/>
    <s v="Amazon Logistics"/>
    <s v="Active"/>
    <n v="5"/>
    <n v="0"/>
    <n v="1"/>
    <n v="164"/>
    <s v="Slow"/>
    <n v="0"/>
  </r>
  <r>
    <n v="1"/>
    <x v="37"/>
    <x v="36"/>
    <x v="0"/>
    <x v="13"/>
    <s v="CUST028"/>
    <s v="PROD007"/>
    <x v="1"/>
    <x v="20"/>
    <x v="0"/>
    <n v="32"/>
    <n v="2"/>
    <n v="64"/>
    <x v="4"/>
    <x v="0"/>
    <s v="FedEx"/>
    <s v="Cancelled"/>
    <m/>
    <n v="1"/>
    <n v="0"/>
    <n v="0"/>
    <s v=""/>
    <n v="0"/>
  </r>
  <r>
    <n v="1"/>
    <x v="38"/>
    <x v="37"/>
    <x v="0"/>
    <x v="1"/>
    <s v="CUST024"/>
    <s v="PROD022"/>
    <x v="2"/>
    <x v="16"/>
    <x v="1"/>
    <n v="66"/>
    <n v="2"/>
    <n v="132"/>
    <x v="0"/>
    <x v="2"/>
    <s v="DHL"/>
    <s v="Active"/>
    <m/>
    <n v="0"/>
    <n v="0"/>
    <n v="0"/>
    <s v=""/>
    <n v="0"/>
  </r>
  <r>
    <n v="1"/>
    <x v="39"/>
    <x v="37"/>
    <x v="0"/>
    <x v="1"/>
    <s v="CUST006"/>
    <s v="PROD004"/>
    <x v="1"/>
    <x v="21"/>
    <x v="1"/>
    <n v="62"/>
    <n v="4"/>
    <n v="248"/>
    <x v="4"/>
    <x v="2"/>
    <s v="UPS"/>
    <s v="Active"/>
    <m/>
    <n v="0"/>
    <n v="0"/>
    <n v="0"/>
    <s v=""/>
    <n v="0"/>
  </r>
  <r>
    <n v="1"/>
    <x v="40"/>
    <x v="38"/>
    <x v="10"/>
    <x v="1"/>
    <s v="CUST001"/>
    <s v="PROD011"/>
    <x v="3"/>
    <x v="18"/>
    <x v="4"/>
    <n v="173"/>
    <n v="4"/>
    <n v="692"/>
    <x v="0"/>
    <x v="1"/>
    <s v="UPS"/>
    <s v="Active"/>
    <n v="7"/>
    <n v="0"/>
    <n v="1"/>
    <n v="692"/>
    <s v="Slow"/>
    <n v="0"/>
  </r>
  <r>
    <n v="1"/>
    <x v="41"/>
    <x v="39"/>
    <x v="11"/>
    <x v="1"/>
    <s v="CUST007"/>
    <s v="PROD004"/>
    <x v="1"/>
    <x v="21"/>
    <x v="4"/>
    <n v="63"/>
    <n v="3"/>
    <n v="189"/>
    <x v="0"/>
    <x v="1"/>
    <s v="UPS"/>
    <s v="Active"/>
    <n v="2"/>
    <n v="0"/>
    <n v="1"/>
    <n v="189"/>
    <s v="Fast"/>
    <n v="1"/>
  </r>
  <r>
    <n v="1"/>
    <x v="42"/>
    <x v="40"/>
    <x v="0"/>
    <x v="3"/>
    <s v="CUST040"/>
    <s v="PROD021"/>
    <x v="0"/>
    <x v="5"/>
    <x v="4"/>
    <n v="36"/>
    <n v="3"/>
    <n v="108"/>
    <x v="4"/>
    <x v="0"/>
    <s v="USPS"/>
    <s v="Cancelled"/>
    <m/>
    <n v="1"/>
    <n v="0"/>
    <n v="0"/>
    <s v=""/>
    <n v="0"/>
  </r>
  <r>
    <n v="1"/>
    <x v="43"/>
    <x v="41"/>
    <x v="0"/>
    <x v="14"/>
    <s v="CUST006"/>
    <s v="PROD004"/>
    <x v="1"/>
    <x v="21"/>
    <x v="3"/>
    <n v="62"/>
    <n v="1"/>
    <n v="62"/>
    <x v="0"/>
    <x v="0"/>
    <s v="Amazon Logistics"/>
    <s v="Cancelled"/>
    <m/>
    <n v="1"/>
    <n v="0"/>
    <n v="0"/>
    <s v=""/>
    <n v="0"/>
  </r>
  <r>
    <n v="1"/>
    <x v="44"/>
    <x v="42"/>
    <x v="0"/>
    <x v="15"/>
    <s v="CUST042"/>
    <s v="PROD003"/>
    <x v="0"/>
    <x v="7"/>
    <x v="3"/>
    <n v="137"/>
    <n v="5"/>
    <n v="685"/>
    <x v="3"/>
    <x v="0"/>
    <s v="FedEx"/>
    <s v="Cancelled"/>
    <m/>
    <n v="1"/>
    <n v="0"/>
    <n v="0"/>
    <s v=""/>
    <n v="0"/>
  </r>
  <r>
    <n v="1"/>
    <x v="45"/>
    <x v="19"/>
    <x v="12"/>
    <x v="1"/>
    <s v="CUST039"/>
    <s v="PROD017"/>
    <x v="3"/>
    <x v="10"/>
    <x v="0"/>
    <n v="73"/>
    <n v="4"/>
    <n v="292"/>
    <x v="1"/>
    <x v="1"/>
    <s v="Amazon Logistics"/>
    <s v="Active"/>
    <n v="4"/>
    <n v="0"/>
    <n v="1"/>
    <n v="292"/>
    <s v="Slow"/>
    <n v="0"/>
  </r>
  <r>
    <n v="1"/>
    <x v="46"/>
    <x v="43"/>
    <x v="13"/>
    <x v="1"/>
    <s v="CUST041"/>
    <s v="PROD020"/>
    <x v="3"/>
    <x v="4"/>
    <x v="0"/>
    <n v="104"/>
    <n v="1"/>
    <n v="104"/>
    <x v="2"/>
    <x v="1"/>
    <s v="Amazon Logistics"/>
    <s v="Active"/>
    <n v="2"/>
    <n v="0"/>
    <n v="1"/>
    <n v="104"/>
    <s v="Fast"/>
    <n v="1"/>
  </r>
  <r>
    <n v="1"/>
    <x v="47"/>
    <x v="44"/>
    <x v="14"/>
    <x v="1"/>
    <s v="CUST044"/>
    <s v="PROD006"/>
    <x v="2"/>
    <x v="9"/>
    <x v="1"/>
    <n v="97"/>
    <n v="1"/>
    <n v="97"/>
    <x v="3"/>
    <x v="1"/>
    <s v="FedEx"/>
    <s v="Active"/>
    <n v="5"/>
    <n v="0"/>
    <n v="1"/>
    <n v="97"/>
    <s v="Slow"/>
    <n v="0"/>
  </r>
  <r>
    <n v="1"/>
    <x v="48"/>
    <x v="45"/>
    <x v="0"/>
    <x v="1"/>
    <s v="CUST026"/>
    <s v="PROD017"/>
    <x v="3"/>
    <x v="10"/>
    <x v="2"/>
    <n v="73"/>
    <n v="5"/>
    <n v="365"/>
    <x v="0"/>
    <x v="2"/>
    <s v="Amazon Logistics"/>
    <s v="Active"/>
    <m/>
    <n v="0"/>
    <n v="0"/>
    <n v="0"/>
    <s v=""/>
    <n v="0"/>
  </r>
  <r>
    <n v="1"/>
    <x v="49"/>
    <x v="37"/>
    <x v="15"/>
    <x v="1"/>
    <s v="CUST040"/>
    <s v="PROD005"/>
    <x v="2"/>
    <x v="11"/>
    <x v="1"/>
    <n v="27"/>
    <n v="3"/>
    <n v="81"/>
    <x v="3"/>
    <x v="1"/>
    <s v="UPS"/>
    <s v="Active"/>
    <n v="38"/>
    <n v="0"/>
    <n v="1"/>
    <n v="81"/>
    <s v="Slow"/>
    <n v="0"/>
  </r>
  <r>
    <n v="1"/>
    <x v="50"/>
    <x v="20"/>
    <x v="0"/>
    <x v="1"/>
    <s v="CUST041"/>
    <s v="PROD021"/>
    <x v="0"/>
    <x v="5"/>
    <x v="0"/>
    <n v="37"/>
    <n v="1"/>
    <n v="37"/>
    <x v="0"/>
    <x v="2"/>
    <s v="UPS"/>
    <s v="Active"/>
    <m/>
    <n v="0"/>
    <n v="0"/>
    <n v="0"/>
    <s v=""/>
    <n v="0"/>
  </r>
  <r>
    <n v="1"/>
    <x v="51"/>
    <x v="46"/>
    <x v="16"/>
    <x v="1"/>
    <s v="CUST008"/>
    <s v="PROD015"/>
    <x v="4"/>
    <x v="12"/>
    <x v="0"/>
    <n v="22"/>
    <n v="1"/>
    <n v="22"/>
    <x v="4"/>
    <x v="1"/>
    <s v="FedEx"/>
    <s v="Active"/>
    <n v="2"/>
    <n v="0"/>
    <n v="1"/>
    <n v="22"/>
    <s v="Fast"/>
    <n v="1"/>
  </r>
  <r>
    <n v="1"/>
    <x v="52"/>
    <x v="9"/>
    <x v="17"/>
    <x v="1"/>
    <s v="CUST011"/>
    <s v="PROD016"/>
    <x v="0"/>
    <x v="19"/>
    <x v="3"/>
    <n v="218"/>
    <n v="5"/>
    <n v="1090"/>
    <x v="2"/>
    <x v="1"/>
    <s v="DHL"/>
    <s v="Active"/>
    <n v="3"/>
    <n v="0"/>
    <n v="1"/>
    <n v="1090"/>
    <s v="Slow"/>
    <n v="0"/>
  </r>
  <r>
    <n v="1"/>
    <x v="53"/>
    <x v="47"/>
    <x v="0"/>
    <x v="16"/>
    <s v="CUST018"/>
    <s v="PROD004"/>
    <x v="1"/>
    <x v="21"/>
    <x v="0"/>
    <n v="64"/>
    <n v="1"/>
    <n v="64"/>
    <x v="0"/>
    <x v="0"/>
    <s v="USPS"/>
    <s v="Cancelled"/>
    <m/>
    <n v="1"/>
    <n v="0"/>
    <n v="0"/>
    <s v=""/>
    <n v="0"/>
  </r>
  <r>
    <n v="1"/>
    <x v="54"/>
    <x v="4"/>
    <x v="18"/>
    <x v="1"/>
    <s v="CUST037"/>
    <s v="PROD021"/>
    <x v="0"/>
    <x v="5"/>
    <x v="3"/>
    <n v="36"/>
    <n v="4"/>
    <n v="144"/>
    <x v="2"/>
    <x v="1"/>
    <s v="Amazon Logistics"/>
    <s v="Active"/>
    <n v="4"/>
    <n v="0"/>
    <n v="1"/>
    <n v="144"/>
    <s v="Slow"/>
    <n v="0"/>
  </r>
  <r>
    <n v="1"/>
    <x v="55"/>
    <x v="48"/>
    <x v="6"/>
    <x v="1"/>
    <s v="CUST017"/>
    <s v="PROD004"/>
    <x v="1"/>
    <x v="21"/>
    <x v="4"/>
    <n v="65"/>
    <n v="1"/>
    <n v="65"/>
    <x v="3"/>
    <x v="1"/>
    <s v="FedEx"/>
    <s v="Active"/>
    <n v="3"/>
    <n v="0"/>
    <n v="1"/>
    <n v="65"/>
    <s v="Slow"/>
    <n v="0"/>
  </r>
  <r>
    <n v="1"/>
    <x v="56"/>
    <x v="49"/>
    <x v="19"/>
    <x v="1"/>
    <s v="CUST025"/>
    <s v="PROD005"/>
    <x v="2"/>
    <x v="11"/>
    <x v="3"/>
    <n v="26"/>
    <n v="1"/>
    <n v="26"/>
    <x v="0"/>
    <x v="1"/>
    <s v="DHL"/>
    <s v="Active"/>
    <n v="2"/>
    <n v="0"/>
    <n v="1"/>
    <n v="26"/>
    <s v="Fast"/>
    <n v="1"/>
  </r>
  <r>
    <n v="1"/>
    <x v="57"/>
    <x v="50"/>
    <x v="0"/>
    <x v="1"/>
    <s v="CUST021"/>
    <s v="PROD009"/>
    <x v="4"/>
    <x v="17"/>
    <x v="0"/>
    <n v="11"/>
    <n v="5"/>
    <n v="55"/>
    <x v="1"/>
    <x v="2"/>
    <s v="FedEx"/>
    <s v="Active"/>
    <m/>
    <n v="0"/>
    <n v="0"/>
    <n v="0"/>
    <s v=""/>
    <n v="0"/>
  </r>
  <r>
    <n v="1"/>
    <x v="58"/>
    <x v="51"/>
    <x v="0"/>
    <x v="17"/>
    <s v="CUST003"/>
    <s v="PROD013"/>
    <x v="0"/>
    <x v="2"/>
    <x v="0"/>
    <n v="195"/>
    <n v="4"/>
    <n v="780"/>
    <x v="2"/>
    <x v="0"/>
    <s v="FedEx"/>
    <s v="Cancelled"/>
    <m/>
    <n v="1"/>
    <n v="0"/>
    <n v="0"/>
    <s v=""/>
    <n v="0"/>
  </r>
  <r>
    <n v="1"/>
    <x v="59"/>
    <x v="2"/>
    <x v="0"/>
    <x v="18"/>
    <s v="CUST019"/>
    <s v="PROD019"/>
    <x v="2"/>
    <x v="6"/>
    <x v="4"/>
    <n v="44"/>
    <n v="5"/>
    <n v="220"/>
    <x v="0"/>
    <x v="0"/>
    <s v="USPS"/>
    <s v="Cancelled"/>
    <m/>
    <n v="1"/>
    <n v="0"/>
    <n v="0"/>
    <s v=""/>
    <n v="0"/>
  </r>
  <r>
    <n v="1"/>
    <x v="60"/>
    <x v="52"/>
    <x v="0"/>
    <x v="1"/>
    <s v="CUST035"/>
    <s v="PROD008"/>
    <x v="4"/>
    <x v="13"/>
    <x v="1"/>
    <n v="69"/>
    <n v="4"/>
    <n v="276"/>
    <x v="4"/>
    <x v="2"/>
    <s v="DHL"/>
    <s v="Active"/>
    <m/>
    <n v="0"/>
    <n v="0"/>
    <n v="0"/>
    <s v=""/>
    <n v="0"/>
  </r>
  <r>
    <n v="1"/>
    <x v="61"/>
    <x v="53"/>
    <x v="20"/>
    <x v="1"/>
    <s v="CUST022"/>
    <s v="PROD001"/>
    <x v="3"/>
    <x v="14"/>
    <x v="0"/>
    <n v="815"/>
    <n v="4"/>
    <n v="3260"/>
    <x v="1"/>
    <x v="1"/>
    <s v="USPS"/>
    <s v="Active"/>
    <n v="7"/>
    <n v="0"/>
    <n v="1"/>
    <n v="3260"/>
    <s v="Slow"/>
    <n v="0"/>
  </r>
  <r>
    <n v="1"/>
    <x v="62"/>
    <x v="40"/>
    <x v="0"/>
    <x v="1"/>
    <s v="CUST004"/>
    <s v="PROD005"/>
    <x v="2"/>
    <x v="11"/>
    <x v="1"/>
    <n v="27"/>
    <n v="1"/>
    <n v="27"/>
    <x v="4"/>
    <x v="2"/>
    <s v="Amazon Logistics"/>
    <s v="Active"/>
    <m/>
    <n v="0"/>
    <n v="0"/>
    <n v="0"/>
    <s v=""/>
    <n v="0"/>
  </r>
  <r>
    <n v="1"/>
    <x v="63"/>
    <x v="33"/>
    <x v="21"/>
    <x v="1"/>
    <s v="CUST048"/>
    <s v="PROD003"/>
    <x v="0"/>
    <x v="7"/>
    <x v="4"/>
    <n v="139"/>
    <n v="5"/>
    <n v="695"/>
    <x v="0"/>
    <x v="1"/>
    <s v="USPS"/>
    <s v="Active"/>
    <n v="28"/>
    <n v="0"/>
    <n v="1"/>
    <n v="695"/>
    <s v="Slow"/>
    <n v="0"/>
  </r>
  <r>
    <n v="1"/>
    <x v="64"/>
    <x v="48"/>
    <x v="0"/>
    <x v="19"/>
    <s v="CUST009"/>
    <s v="PROD008"/>
    <x v="4"/>
    <x v="13"/>
    <x v="2"/>
    <n v="69"/>
    <n v="3"/>
    <n v="207"/>
    <x v="2"/>
    <x v="0"/>
    <s v="Amazon Logistics"/>
    <s v="Cancelled"/>
    <m/>
    <n v="1"/>
    <n v="0"/>
    <n v="0"/>
    <s v=""/>
    <n v="0"/>
  </r>
  <r>
    <n v="1"/>
    <x v="65"/>
    <x v="54"/>
    <x v="0"/>
    <x v="20"/>
    <s v="CUST009"/>
    <s v="PROD019"/>
    <x v="2"/>
    <x v="6"/>
    <x v="4"/>
    <n v="42"/>
    <n v="1"/>
    <n v="42"/>
    <x v="0"/>
    <x v="0"/>
    <s v="DHL"/>
    <s v="Cancelled"/>
    <m/>
    <n v="1"/>
    <n v="0"/>
    <n v="0"/>
    <s v=""/>
    <n v="0"/>
  </r>
  <r>
    <n v="1"/>
    <x v="66"/>
    <x v="55"/>
    <x v="22"/>
    <x v="1"/>
    <s v="CUST050"/>
    <s v="PROD007"/>
    <x v="1"/>
    <x v="20"/>
    <x v="0"/>
    <n v="31"/>
    <n v="4"/>
    <n v="124"/>
    <x v="1"/>
    <x v="1"/>
    <s v="UPS"/>
    <s v="Active"/>
    <n v="2"/>
    <n v="0"/>
    <n v="1"/>
    <n v="124"/>
    <s v="Fast"/>
    <n v="1"/>
  </r>
  <r>
    <n v="1"/>
    <x v="67"/>
    <x v="41"/>
    <x v="0"/>
    <x v="1"/>
    <s v="CUST045"/>
    <s v="PROD020"/>
    <x v="3"/>
    <x v="4"/>
    <x v="4"/>
    <n v="104"/>
    <n v="3"/>
    <n v="312"/>
    <x v="1"/>
    <x v="2"/>
    <s v="UPS"/>
    <s v="Active"/>
    <m/>
    <n v="0"/>
    <n v="0"/>
    <n v="0"/>
    <s v=""/>
    <n v="0"/>
  </r>
  <r>
    <n v="1"/>
    <x v="68"/>
    <x v="56"/>
    <x v="0"/>
    <x v="21"/>
    <s v="CUST044"/>
    <s v="PROD010"/>
    <x v="2"/>
    <x v="3"/>
    <x v="1"/>
    <n v="58"/>
    <n v="2"/>
    <n v="116"/>
    <x v="0"/>
    <x v="0"/>
    <s v="USPS"/>
    <s v="Cancelled"/>
    <m/>
    <n v="1"/>
    <n v="0"/>
    <n v="0"/>
    <s v=""/>
    <n v="0"/>
  </r>
  <r>
    <n v="1"/>
    <x v="69"/>
    <x v="26"/>
    <x v="0"/>
    <x v="11"/>
    <s v="CUST009"/>
    <s v="PROD004"/>
    <x v="1"/>
    <x v="21"/>
    <x v="4"/>
    <n v="62"/>
    <n v="2"/>
    <n v="124"/>
    <x v="4"/>
    <x v="0"/>
    <s v="DHL"/>
    <s v="Cancelled"/>
    <m/>
    <n v="1"/>
    <n v="0"/>
    <n v="0"/>
    <s v=""/>
    <n v="0"/>
  </r>
  <r>
    <n v="1"/>
    <x v="70"/>
    <x v="41"/>
    <x v="23"/>
    <x v="1"/>
    <s v="CUST006"/>
    <s v="PROD019"/>
    <x v="2"/>
    <x v="6"/>
    <x v="1"/>
    <n v="43"/>
    <n v="1"/>
    <n v="43"/>
    <x v="1"/>
    <x v="1"/>
    <s v="Amazon Logistics"/>
    <s v="Active"/>
    <n v="7"/>
    <n v="0"/>
    <n v="1"/>
    <n v="43"/>
    <s v="Slow"/>
    <n v="0"/>
  </r>
  <r>
    <n v="1"/>
    <x v="71"/>
    <x v="57"/>
    <x v="0"/>
    <x v="1"/>
    <s v="CUST022"/>
    <s v="PROD004"/>
    <x v="1"/>
    <x v="21"/>
    <x v="1"/>
    <n v="62"/>
    <n v="4"/>
    <n v="248"/>
    <x v="4"/>
    <x v="2"/>
    <s v="Amazon Logistics"/>
    <s v="Active"/>
    <m/>
    <n v="0"/>
    <n v="0"/>
    <n v="0"/>
    <s v=""/>
    <n v="0"/>
  </r>
  <r>
    <n v="1"/>
    <x v="72"/>
    <x v="58"/>
    <x v="0"/>
    <x v="22"/>
    <s v="CUST028"/>
    <s v="PROD006"/>
    <x v="2"/>
    <x v="9"/>
    <x v="0"/>
    <n v="95"/>
    <n v="2"/>
    <n v="190"/>
    <x v="2"/>
    <x v="0"/>
    <s v="UPS"/>
    <s v="Cancelled"/>
    <m/>
    <n v="1"/>
    <n v="0"/>
    <n v="0"/>
    <s v=""/>
    <n v="0"/>
  </r>
  <r>
    <n v="1"/>
    <x v="73"/>
    <x v="59"/>
    <x v="24"/>
    <x v="1"/>
    <s v="CUST016"/>
    <s v="PROD021"/>
    <x v="0"/>
    <x v="5"/>
    <x v="3"/>
    <n v="36"/>
    <n v="4"/>
    <n v="144"/>
    <x v="0"/>
    <x v="1"/>
    <s v="FedEx"/>
    <s v="Active"/>
    <n v="6"/>
    <n v="0"/>
    <n v="1"/>
    <n v="144"/>
    <s v="Slow"/>
    <n v="0"/>
  </r>
  <r>
    <n v="1"/>
    <x v="74"/>
    <x v="60"/>
    <x v="0"/>
    <x v="1"/>
    <s v="CUST042"/>
    <s v="PROD017"/>
    <x v="3"/>
    <x v="10"/>
    <x v="1"/>
    <n v="73"/>
    <n v="5"/>
    <n v="365"/>
    <x v="0"/>
    <x v="2"/>
    <s v="DHL"/>
    <s v="Active"/>
    <m/>
    <n v="0"/>
    <n v="0"/>
    <n v="0"/>
    <s v=""/>
    <n v="0"/>
  </r>
  <r>
    <n v="1"/>
    <x v="75"/>
    <x v="61"/>
    <x v="25"/>
    <x v="1"/>
    <s v="CUST023"/>
    <s v="PROD019"/>
    <x v="2"/>
    <x v="6"/>
    <x v="0"/>
    <n v="43"/>
    <n v="4"/>
    <n v="172"/>
    <x v="4"/>
    <x v="1"/>
    <s v="DHL"/>
    <s v="Active"/>
    <n v="6"/>
    <n v="0"/>
    <n v="1"/>
    <n v="172"/>
    <s v="Slow"/>
    <n v="0"/>
  </r>
  <r>
    <n v="1"/>
    <x v="76"/>
    <x v="22"/>
    <x v="26"/>
    <x v="1"/>
    <s v="CUST004"/>
    <s v="PROD016"/>
    <x v="0"/>
    <x v="19"/>
    <x v="4"/>
    <n v="214"/>
    <n v="5"/>
    <n v="1070"/>
    <x v="4"/>
    <x v="1"/>
    <s v="UPS"/>
    <s v="Active"/>
    <n v="2"/>
    <n v="0"/>
    <n v="1"/>
    <n v="1070"/>
    <s v="Fast"/>
    <n v="1"/>
  </r>
  <r>
    <n v="1"/>
    <x v="77"/>
    <x v="62"/>
    <x v="0"/>
    <x v="23"/>
    <s v="CUST048"/>
    <s v="PROD002"/>
    <x v="1"/>
    <x v="15"/>
    <x v="3"/>
    <n v="42"/>
    <n v="2"/>
    <n v="84"/>
    <x v="0"/>
    <x v="0"/>
    <s v="UPS"/>
    <s v="Cancelled"/>
    <m/>
    <n v="1"/>
    <n v="0"/>
    <n v="0"/>
    <s v=""/>
    <n v="0"/>
  </r>
  <r>
    <n v="1"/>
    <x v="78"/>
    <x v="7"/>
    <x v="0"/>
    <x v="1"/>
    <s v="CUST048"/>
    <s v="PROD012"/>
    <x v="0"/>
    <x v="0"/>
    <x v="0"/>
    <n v="46"/>
    <n v="1"/>
    <n v="46"/>
    <x v="3"/>
    <x v="2"/>
    <s v="UPS"/>
    <s v="Active"/>
    <m/>
    <n v="0"/>
    <n v="0"/>
    <n v="0"/>
    <s v=""/>
    <n v="0"/>
  </r>
  <r>
    <n v="1"/>
    <x v="79"/>
    <x v="63"/>
    <x v="27"/>
    <x v="1"/>
    <s v="CUST032"/>
    <s v="PROD018"/>
    <x v="1"/>
    <x v="1"/>
    <x v="1"/>
    <n v="95"/>
    <n v="4"/>
    <n v="380"/>
    <x v="1"/>
    <x v="1"/>
    <s v="UPS"/>
    <s v="Active"/>
    <n v="3"/>
    <n v="0"/>
    <n v="1"/>
    <n v="380"/>
    <s v="Slow"/>
    <n v="0"/>
  </r>
  <r>
    <n v="1"/>
    <x v="80"/>
    <x v="64"/>
    <x v="0"/>
    <x v="1"/>
    <s v="CUST001"/>
    <s v="PROD011"/>
    <x v="3"/>
    <x v="18"/>
    <x v="4"/>
    <n v="174"/>
    <n v="2"/>
    <n v="348"/>
    <x v="2"/>
    <x v="2"/>
    <s v="UPS"/>
    <s v="Active"/>
    <m/>
    <n v="0"/>
    <n v="0"/>
    <n v="0"/>
    <s v=""/>
    <n v="0"/>
  </r>
  <r>
    <n v="1"/>
    <x v="81"/>
    <x v="30"/>
    <x v="0"/>
    <x v="24"/>
    <s v="CUST046"/>
    <s v="PROD005"/>
    <x v="2"/>
    <x v="11"/>
    <x v="0"/>
    <n v="27"/>
    <n v="5"/>
    <n v="135"/>
    <x v="1"/>
    <x v="0"/>
    <s v="Amazon Logistics"/>
    <s v="Cancelled"/>
    <m/>
    <n v="1"/>
    <n v="0"/>
    <n v="0"/>
    <s v=""/>
    <n v="0"/>
  </r>
  <r>
    <n v="1"/>
    <x v="82"/>
    <x v="65"/>
    <x v="28"/>
    <x v="1"/>
    <s v="CUST021"/>
    <s v="PROD005"/>
    <x v="2"/>
    <x v="11"/>
    <x v="2"/>
    <n v="27"/>
    <n v="4"/>
    <n v="108"/>
    <x v="2"/>
    <x v="1"/>
    <s v="USPS"/>
    <s v="Active"/>
    <n v="2"/>
    <n v="0"/>
    <n v="1"/>
    <n v="108"/>
    <s v="Fast"/>
    <n v="1"/>
  </r>
  <r>
    <n v="1"/>
    <x v="83"/>
    <x v="37"/>
    <x v="0"/>
    <x v="1"/>
    <s v="CUST015"/>
    <s v="PROD022"/>
    <x v="2"/>
    <x v="16"/>
    <x v="2"/>
    <n v="65"/>
    <n v="2"/>
    <n v="130"/>
    <x v="2"/>
    <x v="2"/>
    <s v="DHL"/>
    <s v="Active"/>
    <m/>
    <n v="0"/>
    <n v="0"/>
    <n v="0"/>
    <s v=""/>
    <n v="0"/>
  </r>
  <r>
    <n v="1"/>
    <x v="84"/>
    <x v="57"/>
    <x v="0"/>
    <x v="1"/>
    <s v="CUST045"/>
    <s v="PROD019"/>
    <x v="2"/>
    <x v="6"/>
    <x v="1"/>
    <n v="43"/>
    <n v="5"/>
    <n v="215"/>
    <x v="4"/>
    <x v="2"/>
    <s v="DHL"/>
    <s v="Active"/>
    <m/>
    <n v="0"/>
    <n v="0"/>
    <n v="0"/>
    <s v=""/>
    <n v="0"/>
  </r>
  <r>
    <n v="1"/>
    <x v="85"/>
    <x v="66"/>
    <x v="0"/>
    <x v="1"/>
    <s v="CUST007"/>
    <s v="PROD016"/>
    <x v="0"/>
    <x v="19"/>
    <x v="4"/>
    <n v="210"/>
    <n v="1"/>
    <n v="210"/>
    <x v="2"/>
    <x v="2"/>
    <s v="UPS"/>
    <s v="Active"/>
    <m/>
    <n v="0"/>
    <n v="0"/>
    <n v="0"/>
    <s v=""/>
    <n v="0"/>
  </r>
  <r>
    <n v="1"/>
    <x v="86"/>
    <x v="53"/>
    <x v="0"/>
    <x v="1"/>
    <s v="CUST043"/>
    <s v="PROD021"/>
    <x v="0"/>
    <x v="5"/>
    <x v="2"/>
    <n v="37"/>
    <n v="3"/>
    <n v="111"/>
    <x v="1"/>
    <x v="2"/>
    <s v="UPS"/>
    <s v="Active"/>
    <m/>
    <n v="0"/>
    <n v="0"/>
    <n v="0"/>
    <s v=""/>
    <n v="0"/>
  </r>
  <r>
    <n v="1"/>
    <x v="87"/>
    <x v="50"/>
    <x v="0"/>
    <x v="1"/>
    <s v="CUST007"/>
    <s v="PROD001"/>
    <x v="3"/>
    <x v="14"/>
    <x v="2"/>
    <n v="788"/>
    <n v="4"/>
    <n v="3152"/>
    <x v="4"/>
    <x v="2"/>
    <s v="Amazon Logistics"/>
    <s v="Active"/>
    <m/>
    <n v="0"/>
    <n v="0"/>
    <n v="0"/>
    <s v=""/>
    <n v="0"/>
  </r>
  <r>
    <n v="1"/>
    <x v="88"/>
    <x v="67"/>
    <x v="0"/>
    <x v="1"/>
    <s v="CUST007"/>
    <s v="PROD016"/>
    <x v="0"/>
    <x v="19"/>
    <x v="4"/>
    <n v="217"/>
    <n v="5"/>
    <n v="1085"/>
    <x v="4"/>
    <x v="2"/>
    <s v="FedEx"/>
    <s v="Active"/>
    <m/>
    <n v="0"/>
    <n v="0"/>
    <n v="0"/>
    <s v=""/>
    <n v="0"/>
  </r>
  <r>
    <n v="1"/>
    <x v="89"/>
    <x v="59"/>
    <x v="0"/>
    <x v="1"/>
    <s v="CUST007"/>
    <s v="PROD003"/>
    <x v="0"/>
    <x v="7"/>
    <x v="4"/>
    <n v="138"/>
    <n v="4"/>
    <n v="552"/>
    <x v="1"/>
    <x v="2"/>
    <s v="FedEx"/>
    <s v="Active"/>
    <m/>
    <n v="0"/>
    <n v="0"/>
    <n v="0"/>
    <s v=""/>
    <n v="0"/>
  </r>
  <r>
    <n v="1"/>
    <x v="90"/>
    <x v="68"/>
    <x v="29"/>
    <x v="1"/>
    <s v="CUST031"/>
    <s v="PROD001"/>
    <x v="3"/>
    <x v="14"/>
    <x v="3"/>
    <n v="803"/>
    <n v="2"/>
    <n v="1606"/>
    <x v="0"/>
    <x v="1"/>
    <s v="FedEx"/>
    <s v="Active"/>
    <n v="6"/>
    <n v="0"/>
    <n v="1"/>
    <n v="1606"/>
    <s v="Slow"/>
    <n v="0"/>
  </r>
  <r>
    <n v="1"/>
    <x v="91"/>
    <x v="69"/>
    <x v="0"/>
    <x v="8"/>
    <s v="CUST013"/>
    <s v="PROD014"/>
    <x v="3"/>
    <x v="8"/>
    <x v="0"/>
    <n v="248"/>
    <n v="5"/>
    <n v="1240"/>
    <x v="2"/>
    <x v="0"/>
    <s v="UPS"/>
    <s v="Cancelled"/>
    <m/>
    <n v="1"/>
    <n v="0"/>
    <n v="0"/>
    <s v=""/>
    <n v="0"/>
  </r>
  <r>
    <n v="1"/>
    <x v="92"/>
    <x v="70"/>
    <x v="30"/>
    <x v="1"/>
    <s v="CUST036"/>
    <s v="PROD016"/>
    <x v="0"/>
    <x v="19"/>
    <x v="1"/>
    <n v="210"/>
    <n v="3"/>
    <n v="630"/>
    <x v="0"/>
    <x v="1"/>
    <s v="DHL"/>
    <s v="Active"/>
    <n v="2"/>
    <n v="0"/>
    <n v="1"/>
    <n v="630"/>
    <s v="Fast"/>
    <n v="1"/>
  </r>
  <r>
    <n v="1"/>
    <x v="93"/>
    <x v="71"/>
    <x v="0"/>
    <x v="25"/>
    <s v="CUST013"/>
    <s v="PROD004"/>
    <x v="1"/>
    <x v="21"/>
    <x v="0"/>
    <n v="62"/>
    <n v="2"/>
    <n v="124"/>
    <x v="1"/>
    <x v="0"/>
    <s v="FedEx"/>
    <s v="Cancelled"/>
    <m/>
    <n v="1"/>
    <n v="0"/>
    <n v="0"/>
    <s v=""/>
    <n v="0"/>
  </r>
  <r>
    <n v="1"/>
    <x v="94"/>
    <x v="72"/>
    <x v="0"/>
    <x v="23"/>
    <s v="CUST043"/>
    <s v="PROD009"/>
    <x v="4"/>
    <x v="17"/>
    <x v="2"/>
    <n v="11"/>
    <n v="5"/>
    <n v="55"/>
    <x v="4"/>
    <x v="0"/>
    <s v="Amazon Logistics"/>
    <s v="Cancelled"/>
    <m/>
    <n v="1"/>
    <n v="0"/>
    <n v="0"/>
    <s v=""/>
    <n v="0"/>
  </r>
  <r>
    <n v="1"/>
    <x v="95"/>
    <x v="73"/>
    <x v="31"/>
    <x v="1"/>
    <s v="CUST017"/>
    <s v="PROD015"/>
    <x v="4"/>
    <x v="12"/>
    <x v="0"/>
    <n v="21"/>
    <n v="2"/>
    <n v="42"/>
    <x v="3"/>
    <x v="1"/>
    <s v="UPS"/>
    <s v="Active"/>
    <n v="3"/>
    <n v="0"/>
    <n v="1"/>
    <n v="42"/>
    <s v="Slow"/>
    <n v="0"/>
  </r>
  <r>
    <n v="1"/>
    <x v="96"/>
    <x v="74"/>
    <x v="8"/>
    <x v="1"/>
    <s v="CUST023"/>
    <s v="PROD018"/>
    <x v="1"/>
    <x v="1"/>
    <x v="4"/>
    <n v="95"/>
    <n v="5"/>
    <n v="475"/>
    <x v="3"/>
    <x v="1"/>
    <s v="Amazon Logistics"/>
    <s v="Active"/>
    <n v="3"/>
    <n v="0"/>
    <n v="1"/>
    <n v="475"/>
    <s v="Slow"/>
    <n v="0"/>
  </r>
  <r>
    <n v="1"/>
    <x v="97"/>
    <x v="75"/>
    <x v="10"/>
    <x v="1"/>
    <s v="CUST044"/>
    <s v="PROD016"/>
    <x v="0"/>
    <x v="19"/>
    <x v="2"/>
    <n v="215"/>
    <n v="2"/>
    <n v="430"/>
    <x v="2"/>
    <x v="1"/>
    <s v="Amazon Logistics"/>
    <s v="Active"/>
    <n v="5"/>
    <n v="0"/>
    <n v="1"/>
    <n v="430"/>
    <s v="Slow"/>
    <n v="0"/>
  </r>
  <r>
    <n v="1"/>
    <x v="98"/>
    <x v="59"/>
    <x v="0"/>
    <x v="26"/>
    <s v="CUST034"/>
    <s v="PROD019"/>
    <x v="2"/>
    <x v="6"/>
    <x v="4"/>
    <n v="43"/>
    <n v="5"/>
    <n v="215"/>
    <x v="1"/>
    <x v="0"/>
    <s v="UPS"/>
    <s v="Cancelled"/>
    <m/>
    <n v="1"/>
    <n v="0"/>
    <n v="0"/>
    <s v=""/>
    <n v="0"/>
  </r>
  <r>
    <n v="1"/>
    <x v="99"/>
    <x v="76"/>
    <x v="0"/>
    <x v="1"/>
    <s v="CUST009"/>
    <s v="PROD002"/>
    <x v="1"/>
    <x v="15"/>
    <x v="4"/>
    <n v="42"/>
    <n v="4"/>
    <n v="168"/>
    <x v="4"/>
    <x v="2"/>
    <s v="DHL"/>
    <s v="Active"/>
    <m/>
    <n v="0"/>
    <n v="0"/>
    <n v="0"/>
    <s v=""/>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9301C3-930F-474C-8EE8-E03C2824860D}" name="Task2" cacheId="2"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5" rowHeaderCaption="Product Category" colHeaderCaption="Regions">
  <location ref="B11:E17" firstHeaderRow="0" firstDataRow="1" firstDataCol="1" rowPageCount="3" colPageCount="1"/>
  <pivotFields count="28">
    <pivotField showAll="0"/>
    <pivotField dataField="1" showAll="0"/>
    <pivotField showAll="0">
      <items count="78">
        <item x="7"/>
        <item x="49"/>
        <item x="5"/>
        <item x="37"/>
        <item x="25"/>
        <item x="59"/>
        <item x="46"/>
        <item x="4"/>
        <item x="51"/>
        <item x="40"/>
        <item x="56"/>
        <item x="20"/>
        <item x="15"/>
        <item x="28"/>
        <item x="70"/>
        <item x="69"/>
        <item x="1"/>
        <item x="13"/>
        <item x="12"/>
        <item x="47"/>
        <item x="62"/>
        <item x="29"/>
        <item x="76"/>
        <item x="10"/>
        <item x="3"/>
        <item x="64"/>
        <item x="45"/>
        <item x="54"/>
        <item x="31"/>
        <item x="60"/>
        <item x="23"/>
        <item x="72"/>
        <item x="42"/>
        <item x="30"/>
        <item x="68"/>
        <item x="16"/>
        <item x="57"/>
        <item x="73"/>
        <item x="27"/>
        <item x="67"/>
        <item x="39"/>
        <item x="43"/>
        <item x="8"/>
        <item x="58"/>
        <item x="34"/>
        <item x="11"/>
        <item x="55"/>
        <item x="50"/>
        <item x="6"/>
        <item x="36"/>
        <item x="18"/>
        <item x="14"/>
        <item x="61"/>
        <item x="26"/>
        <item x="21"/>
        <item x="38"/>
        <item x="75"/>
        <item x="71"/>
        <item x="52"/>
        <item x="66"/>
        <item x="24"/>
        <item x="63"/>
        <item x="35"/>
        <item x="48"/>
        <item x="44"/>
        <item x="65"/>
        <item x="22"/>
        <item x="2"/>
        <item x="32"/>
        <item x="53"/>
        <item x="17"/>
        <item x="33"/>
        <item x="19"/>
        <item x="41"/>
        <item x="74"/>
        <item x="9"/>
        <item x="0"/>
        <item t="default"/>
      </items>
    </pivotField>
    <pivotField showAll="0"/>
    <pivotField showAll="0"/>
    <pivotField showAll="0"/>
    <pivotField showAll="0"/>
    <pivotField axis="axisPage" multipleItemSelectionAllowed="1" showAll="0">
      <items count="7">
        <item x="4"/>
        <item x="3"/>
        <item x="2"/>
        <item x="0"/>
        <item x="1"/>
        <item h="1" m="1" x="5"/>
        <item t="default"/>
      </items>
    </pivotField>
    <pivotField showAll="0"/>
    <pivotField axis="axisRow" showAll="0">
      <items count="7">
        <item x="3"/>
        <item x="1"/>
        <item x="0"/>
        <item x="2"/>
        <item x="4"/>
        <item m="1" x="5"/>
        <item t="default"/>
      </items>
    </pivotField>
    <pivotField showAll="0"/>
    <pivotField showAll="0"/>
    <pivotField dataField="1" showAll="0"/>
    <pivotField axis="axisPage" multipleItemSelectionAllowed="1" showAll="0">
      <items count="7">
        <item x="3"/>
        <item x="0"/>
        <item x="1"/>
        <item x="4"/>
        <item x="2"/>
        <item h="1" m="1" x="5"/>
        <item t="default"/>
      </items>
    </pivotField>
    <pivotField axis="axisPage" multipleItemSelectionAllowed="1" showAll="0">
      <items count="5">
        <item x="0"/>
        <item x="1"/>
        <item x="2"/>
        <item h="1" m="1" x="3"/>
        <item t="default"/>
      </items>
    </pivotField>
    <pivotField showAll="0"/>
    <pivotField showAll="0"/>
    <pivotField dataField="1"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9"/>
  </rowFields>
  <rowItems count="6">
    <i>
      <x/>
    </i>
    <i>
      <x v="1"/>
    </i>
    <i>
      <x v="2"/>
    </i>
    <i>
      <x v="3"/>
    </i>
    <i>
      <x v="4"/>
    </i>
    <i t="grand">
      <x/>
    </i>
  </rowItems>
  <colFields count="1">
    <field x="-2"/>
  </colFields>
  <colItems count="3">
    <i>
      <x/>
    </i>
    <i i="1">
      <x v="1"/>
    </i>
    <i i="2">
      <x v="2"/>
    </i>
  </colItems>
  <pageFields count="3">
    <pageField fld="13" hier="-1"/>
    <pageField fld="14" hier="-1"/>
    <pageField fld="7" hier="-1"/>
  </pageFields>
  <dataFields count="3">
    <dataField name="Total sales amount" fld="12" baseField="0" baseItem="0"/>
    <dataField name="Count of Orders" fld="1" subtotal="count" baseField="0" baseItem="0"/>
    <dataField name="Average of Delivery Time" fld="17" subtotal="average" baseField="7" baseItem="0" numFmtId="2"/>
  </dataFields>
  <formats count="36">
    <format dxfId="161">
      <pivotArea collapsedLevelsAreSubtotals="1" fieldPosition="0">
        <references count="2">
          <reference field="7" count="0"/>
          <reference field="9" count="5" selected="0">
            <x v="0"/>
            <x v="1"/>
            <x v="2"/>
            <x v="3"/>
            <x v="4"/>
          </reference>
        </references>
      </pivotArea>
    </format>
    <format dxfId="160">
      <pivotArea dataOnly="0" labelOnly="1" fieldPosition="0">
        <references count="1">
          <reference field="9" count="5">
            <x v="0"/>
            <x v="1"/>
            <x v="2"/>
            <x v="3"/>
            <x v="4"/>
          </reference>
        </references>
      </pivotArea>
    </format>
    <format dxfId="159">
      <pivotArea collapsedLevelsAreSubtotals="1" fieldPosition="0">
        <references count="2">
          <reference field="7" count="0"/>
          <reference field="9" count="5" selected="0">
            <x v="0"/>
            <x v="1"/>
            <x v="2"/>
            <x v="3"/>
            <x v="4"/>
          </reference>
        </references>
      </pivotArea>
    </format>
    <format dxfId="158">
      <pivotArea dataOnly="0" labelOnly="1" fieldPosition="0">
        <references count="1">
          <reference field="9" count="5">
            <x v="0"/>
            <x v="1"/>
            <x v="2"/>
            <x v="3"/>
            <x v="4"/>
          </reference>
        </references>
      </pivotArea>
    </format>
    <format dxfId="157">
      <pivotArea field="7" collapsedLevelsAreSubtotals="1" axis="axisPage" fieldPosition="2">
        <references count="1">
          <reference field="7" count="0"/>
        </references>
      </pivotArea>
    </format>
    <format dxfId="156">
      <pivotArea field="7" collapsedLevelsAreSubtotals="1" axis="axisPage" fieldPosition="2">
        <references count="1">
          <reference field="7" count="0"/>
        </references>
      </pivotArea>
    </format>
    <format dxfId="155">
      <pivotArea dataOnly="0" grandRow="1" fieldPosition="0"/>
    </format>
    <format dxfId="154">
      <pivotArea dataOnly="0" grandRow="1" fieldPosition="0"/>
    </format>
    <format dxfId="153">
      <pivotArea outline="0" collapsedLevelsAreSubtotals="1" fieldPosition="0"/>
    </format>
    <format dxfId="152">
      <pivotArea dataOnly="0" labelOnly="1" fieldPosition="0">
        <references count="1">
          <reference field="7" count="0"/>
        </references>
      </pivotArea>
    </format>
    <format dxfId="151">
      <pivotArea dataOnly="0" labelOnly="1" grandRow="1" outline="0" fieldPosition="0"/>
    </format>
    <format dxfId="150">
      <pivotArea dataOnly="0" labelOnly="1" fieldPosition="0">
        <references count="2">
          <reference field="7" count="1" selected="0">
            <x v="0"/>
          </reference>
          <reference field="13" count="4">
            <x v="0"/>
            <x v="2"/>
            <x v="3"/>
            <x v="4"/>
          </reference>
        </references>
      </pivotArea>
    </format>
    <format dxfId="149">
      <pivotArea dataOnly="0" labelOnly="1" fieldPosition="0">
        <references count="2">
          <reference field="7" count="1" selected="0">
            <x v="1"/>
          </reference>
          <reference field="13" count="0"/>
        </references>
      </pivotArea>
    </format>
    <format dxfId="148">
      <pivotArea dataOnly="0" labelOnly="1" fieldPosition="0">
        <references count="2">
          <reference field="7" count="1" selected="0">
            <x v="2"/>
          </reference>
          <reference field="13" count="0"/>
        </references>
      </pivotArea>
    </format>
    <format dxfId="147">
      <pivotArea dataOnly="0" labelOnly="1" fieldPosition="0">
        <references count="2">
          <reference field="7" count="1" selected="0">
            <x v="3"/>
          </reference>
          <reference field="13" count="0"/>
        </references>
      </pivotArea>
    </format>
    <format dxfId="146">
      <pivotArea dataOnly="0" labelOnly="1" fieldPosition="0">
        <references count="2">
          <reference field="7" count="1" selected="0">
            <x v="4"/>
          </reference>
          <reference field="13" count="4">
            <x v="0"/>
            <x v="1"/>
            <x v="2"/>
            <x v="3"/>
          </reference>
        </references>
      </pivotArea>
    </format>
    <format dxfId="145">
      <pivotArea outline="0" collapsedLevelsAreSubtotals="1" fieldPosition="0"/>
    </format>
    <format dxfId="144">
      <pivotArea dataOnly="0" labelOnly="1" fieldPosition="0">
        <references count="1">
          <reference field="7" count="0"/>
        </references>
      </pivotArea>
    </format>
    <format dxfId="143">
      <pivotArea dataOnly="0" labelOnly="1" grandRow="1" outline="0" fieldPosition="0"/>
    </format>
    <format dxfId="142">
      <pivotArea dataOnly="0" labelOnly="1" fieldPosition="0">
        <references count="2">
          <reference field="7" count="1" selected="0">
            <x v="0"/>
          </reference>
          <reference field="13" count="4">
            <x v="0"/>
            <x v="2"/>
            <x v="3"/>
            <x v="4"/>
          </reference>
        </references>
      </pivotArea>
    </format>
    <format dxfId="141">
      <pivotArea dataOnly="0" labelOnly="1" fieldPosition="0">
        <references count="2">
          <reference field="7" count="1" selected="0">
            <x v="1"/>
          </reference>
          <reference field="13" count="0"/>
        </references>
      </pivotArea>
    </format>
    <format dxfId="140">
      <pivotArea dataOnly="0" labelOnly="1" fieldPosition="0">
        <references count="2">
          <reference field="7" count="1" selected="0">
            <x v="2"/>
          </reference>
          <reference field="13" count="0"/>
        </references>
      </pivotArea>
    </format>
    <format dxfId="139">
      <pivotArea dataOnly="0" labelOnly="1" fieldPosition="0">
        <references count="2">
          <reference field="7" count="1" selected="0">
            <x v="3"/>
          </reference>
          <reference field="13" count="0"/>
        </references>
      </pivotArea>
    </format>
    <format dxfId="138">
      <pivotArea dataOnly="0" labelOnly="1" fieldPosition="0">
        <references count="2">
          <reference field="7" count="1" selected="0">
            <x v="4"/>
          </reference>
          <reference field="13" count="4">
            <x v="0"/>
            <x v="1"/>
            <x v="2"/>
            <x v="3"/>
          </reference>
        </references>
      </pivotArea>
    </format>
    <format dxfId="137">
      <pivotArea outline="0" collapsedLevelsAreSubtotals="1" fieldPosition="0"/>
    </format>
    <format dxfId="136">
      <pivotArea dataOnly="0" labelOnly="1" fieldPosition="0">
        <references count="1">
          <reference field="7" count="0"/>
        </references>
      </pivotArea>
    </format>
    <format dxfId="135">
      <pivotArea dataOnly="0" labelOnly="1" grandRow="1" outline="0" fieldPosition="0"/>
    </format>
    <format dxfId="134">
      <pivotArea dataOnly="0" labelOnly="1" fieldPosition="0">
        <references count="2">
          <reference field="7" count="1" selected="0">
            <x v="0"/>
          </reference>
          <reference field="13" count="4">
            <x v="0"/>
            <x v="2"/>
            <x v="3"/>
            <x v="4"/>
          </reference>
        </references>
      </pivotArea>
    </format>
    <format dxfId="133">
      <pivotArea dataOnly="0" labelOnly="1" fieldPosition="0">
        <references count="2">
          <reference field="7" count="1" selected="0">
            <x v="1"/>
          </reference>
          <reference field="13" count="0"/>
        </references>
      </pivotArea>
    </format>
    <format dxfId="132">
      <pivotArea dataOnly="0" labelOnly="1" fieldPosition="0">
        <references count="2">
          <reference field="7" count="1" selected="0">
            <x v="2"/>
          </reference>
          <reference field="13" count="0"/>
        </references>
      </pivotArea>
    </format>
    <format dxfId="131">
      <pivotArea dataOnly="0" labelOnly="1" fieldPosition="0">
        <references count="2">
          <reference field="7" count="1" selected="0">
            <x v="3"/>
          </reference>
          <reference field="13" count="0"/>
        </references>
      </pivotArea>
    </format>
    <format dxfId="130">
      <pivotArea dataOnly="0" labelOnly="1" fieldPosition="0">
        <references count="2">
          <reference field="7" count="1" selected="0">
            <x v="4"/>
          </reference>
          <reference field="13" count="4">
            <x v="0"/>
            <x v="1"/>
            <x v="2"/>
            <x v="3"/>
          </reference>
        </references>
      </pivotArea>
    </format>
    <format dxfId="129">
      <pivotArea outline="0" fieldPosition="0">
        <references count="1">
          <reference field="4294967294" count="1">
            <x v="2"/>
          </reference>
        </references>
      </pivotArea>
    </format>
    <format dxfId="128">
      <pivotArea dataOnly="0" labelOnly="1" outline="0" fieldPosition="0">
        <references count="1">
          <reference field="4294967294" count="3">
            <x v="0"/>
            <x v="1"/>
            <x v="2"/>
          </reference>
        </references>
      </pivotArea>
    </format>
    <format dxfId="127">
      <pivotArea dataOnly="0" labelOnly="1" outline="0" fieldPosition="0">
        <references count="1">
          <reference field="4294967294" count="3">
            <x v="0"/>
            <x v="1"/>
            <x v="2"/>
          </reference>
        </references>
      </pivotArea>
    </format>
    <format dxfId="126">
      <pivotArea dataOnly="0" labelOnly="1" outline="0" fieldPosition="0">
        <references count="1">
          <reference field="4294967294" count="3">
            <x v="0"/>
            <x v="1"/>
            <x v="2"/>
          </reference>
        </references>
      </pivotArea>
    </format>
  </formats>
  <chartFormats count="15">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3" format="3" series="1">
      <pivotArea type="data" outline="0" fieldPosition="0">
        <references count="2">
          <reference field="4294967294" count="1" selected="0">
            <x v="0"/>
          </reference>
          <reference field="7" count="1" selected="0">
            <x v="3"/>
          </reference>
        </references>
      </pivotArea>
    </chartFormat>
    <chartFormat chart="3" format="4" series="1">
      <pivotArea type="data" outline="0" fieldPosition="0">
        <references count="2">
          <reference field="4294967294" count="1" selected="0">
            <x v="0"/>
          </reference>
          <reference field="7" count="1" selected="0">
            <x v="4"/>
          </reference>
        </references>
      </pivotArea>
    </chartFormat>
    <chartFormat chart="3" format="5" series="1">
      <pivotArea type="data" outline="0" fieldPosition="0">
        <references count="2">
          <reference field="4294967294" count="1" selected="0">
            <x v="1"/>
          </reference>
          <reference field="7" count="1" selected="0">
            <x v="0"/>
          </reference>
        </references>
      </pivotArea>
    </chartFormat>
    <chartFormat chart="3" format="6" series="1">
      <pivotArea type="data" outline="0" fieldPosition="0">
        <references count="2">
          <reference field="4294967294" count="1" selected="0">
            <x v="1"/>
          </reference>
          <reference field="7" count="1" selected="0">
            <x v="1"/>
          </reference>
        </references>
      </pivotArea>
    </chartFormat>
    <chartFormat chart="3" format="7" series="1">
      <pivotArea type="data" outline="0" fieldPosition="0">
        <references count="2">
          <reference field="4294967294" count="1" selected="0">
            <x v="1"/>
          </reference>
          <reference field="7" count="1" selected="0">
            <x v="2"/>
          </reference>
        </references>
      </pivotArea>
    </chartFormat>
    <chartFormat chart="3" format="8" series="1">
      <pivotArea type="data" outline="0" fieldPosition="0">
        <references count="2">
          <reference field="4294967294" count="1" selected="0">
            <x v="1"/>
          </reference>
          <reference field="7" count="1" selected="0">
            <x v="3"/>
          </reference>
        </references>
      </pivotArea>
    </chartFormat>
    <chartFormat chart="3" format="9" series="1">
      <pivotArea type="data" outline="0" fieldPosition="0">
        <references count="2">
          <reference field="4294967294" count="1" selected="0">
            <x v="1"/>
          </reference>
          <reference field="7" count="1" selected="0">
            <x v="4"/>
          </reference>
        </references>
      </pivotArea>
    </chartFormat>
    <chartFormat chart="3" format="10" series="1">
      <pivotArea type="data" outline="0" fieldPosition="0">
        <references count="2">
          <reference field="4294967294" count="1" selected="0">
            <x v="2"/>
          </reference>
          <reference field="7" count="1" selected="0">
            <x v="0"/>
          </reference>
        </references>
      </pivotArea>
    </chartFormat>
    <chartFormat chart="3" format="11" series="1">
      <pivotArea type="data" outline="0" fieldPosition="0">
        <references count="2">
          <reference field="4294967294" count="1" selected="0">
            <x v="2"/>
          </reference>
          <reference field="7" count="1" selected="0">
            <x v="1"/>
          </reference>
        </references>
      </pivotArea>
    </chartFormat>
    <chartFormat chart="3" format="12" series="1">
      <pivotArea type="data" outline="0" fieldPosition="0">
        <references count="2">
          <reference field="4294967294" count="1" selected="0">
            <x v="2"/>
          </reference>
          <reference field="7" count="1" selected="0">
            <x v="2"/>
          </reference>
        </references>
      </pivotArea>
    </chartFormat>
    <chartFormat chart="3" format="13" series="1">
      <pivotArea type="data" outline="0" fieldPosition="0">
        <references count="2">
          <reference field="4294967294" count="1" selected="0">
            <x v="2"/>
          </reference>
          <reference field="7" count="1" selected="0">
            <x v="3"/>
          </reference>
        </references>
      </pivotArea>
    </chartFormat>
    <chartFormat chart="3" format="14" series="1">
      <pivotArea type="data" outline="0" fieldPosition="0">
        <references count="2">
          <reference field="4294967294" count="1" selected="0">
            <x v="2"/>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6B5845-FAD6-43BE-A1A0-274226F7596A}" name="fast deliverytabl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0:D26" firstHeaderRow="0" firstDataRow="1" firstDataCol="1"/>
  <pivotFields count="26">
    <pivotField dataField="1" showAll="0"/>
    <pivotField showAll="0"/>
    <pivotField numFmtId="14" showAll="0"/>
    <pivotField showAll="0"/>
    <pivotField showAll="0"/>
    <pivotField showAll="0"/>
    <pivotField showAll="0"/>
    <pivotField showAll="0"/>
    <pivotField showAll="0"/>
    <pivotField axis="axisRow" showAll="0">
      <items count="6">
        <item x="3"/>
        <item x="1"/>
        <item x="0"/>
        <item x="2"/>
        <item x="4"/>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 dragToRow="0" dragToCol="0" dragToPage="0" showAll="0" defaultSubtotal="0"/>
    <pivotField dragToRow="0" dragToCol="0" dragToPage="0" showAll="0" defaultSubtotal="0"/>
  </pivotFields>
  <rowFields count="1">
    <field x="9"/>
  </rowFields>
  <rowItems count="6">
    <i>
      <x/>
    </i>
    <i>
      <x v="1"/>
    </i>
    <i>
      <x v="2"/>
    </i>
    <i>
      <x v="3"/>
    </i>
    <i>
      <x v="4"/>
    </i>
    <i t="grand">
      <x/>
    </i>
  </rowItems>
  <colFields count="1">
    <field x="-2"/>
  </colFields>
  <colItems count="3">
    <i>
      <x/>
    </i>
    <i i="1">
      <x v="1"/>
    </i>
    <i i="2">
      <x v="2"/>
    </i>
  </colItems>
  <dataFields count="3">
    <dataField name="Fast delivery %" fld="23" subtotal="average" baseField="9" baseItem="3" numFmtId="10"/>
    <dataField name="Total Revenue" fld="12" baseField="0" baseItem="0"/>
    <dataField name="Total orders" fld="0" subtotal="count" baseField="9" baseItem="0"/>
  </dataFields>
  <formats count="12">
    <format dxfId="11">
      <pivotArea outline="0" collapsedLevelsAreSubtotals="1" fieldPosition="0"/>
    </format>
    <format dxfId="10">
      <pivotArea outline="0" collapsedLevelsAreSubtotals="1" fieldPosition="0"/>
    </format>
    <format dxfId="9">
      <pivotArea outline="0" collapsedLevelsAreSubtotals="1" fieldPosition="0">
        <references count="1">
          <reference field="4294967294" count="1" selected="0">
            <x v="0"/>
          </reference>
        </references>
      </pivotArea>
    </format>
    <format dxfId="8">
      <pivotArea field="9" type="button" dataOnly="0" labelOnly="1" outline="0" axis="axisRow" fieldPosition="0"/>
    </format>
    <format dxfId="7">
      <pivotArea dataOnly="0" labelOnly="1" outline="0" fieldPosition="0">
        <references count="1">
          <reference field="4294967294" count="2">
            <x v="0"/>
            <x v="1"/>
          </reference>
        </references>
      </pivotArea>
    </format>
    <format dxfId="6">
      <pivotArea field="9" type="button" dataOnly="0" labelOnly="1" outline="0" axis="axisRow" fieldPosition="0"/>
    </format>
    <format dxfId="5">
      <pivotArea dataOnly="0" labelOnly="1" outline="0" fieldPosition="0">
        <references count="1">
          <reference field="4294967294" count="2">
            <x v="0"/>
            <x v="1"/>
          </reference>
        </references>
      </pivotArea>
    </format>
    <format dxfId="4">
      <pivotArea field="9" type="button" dataOnly="0" labelOnly="1" outline="0" axis="axisRow" fieldPosition="0"/>
    </format>
    <format dxfId="3">
      <pivotArea dataOnly="0" labelOnly="1" outline="0" fieldPosition="0">
        <references count="1">
          <reference field="4294967294" count="2">
            <x v="0"/>
            <x v="1"/>
          </reference>
        </references>
      </pivotArea>
    </format>
    <format dxfId="2">
      <pivotArea dataOnly="0" labelOnly="1" outline="0" fieldPosition="0">
        <references count="1">
          <reference field="4294967294" count="1">
            <x v="2"/>
          </reference>
        </references>
      </pivotArea>
    </format>
    <format dxfId="1">
      <pivotArea dataOnly="0" labelOnly="1" outline="0" fieldPosition="0">
        <references count="1">
          <reference field="4294967294" count="1">
            <x v="2"/>
          </reference>
        </references>
      </pivotArea>
    </format>
    <format dxfId="0">
      <pivotArea dataOnly="0" labelOnly="1" outline="0" fieldPosition="0">
        <references count="1">
          <reference field="4294967294" count="1">
            <x v="2"/>
          </reference>
        </references>
      </pivotArea>
    </format>
  </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C71FC3-B5FF-4AE7-9109-7D45DF0D183D}" name="productname"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4:O38" firstHeaderRow="1" firstDataRow="2" firstDataCol="1"/>
  <pivotFields count="28">
    <pivotField showAll="0"/>
    <pivotField showAll="0"/>
    <pivotField numFmtId="14" showAll="0">
      <items count="78">
        <item x="7"/>
        <item x="49"/>
        <item x="5"/>
        <item x="37"/>
        <item x="25"/>
        <item x="59"/>
        <item x="46"/>
        <item x="4"/>
        <item x="51"/>
        <item x="40"/>
        <item x="56"/>
        <item x="20"/>
        <item x="15"/>
        <item x="28"/>
        <item x="70"/>
        <item x="69"/>
        <item x="1"/>
        <item x="13"/>
        <item x="12"/>
        <item x="47"/>
        <item x="62"/>
        <item x="29"/>
        <item x="76"/>
        <item x="10"/>
        <item x="3"/>
        <item x="64"/>
        <item x="45"/>
        <item x="54"/>
        <item x="31"/>
        <item x="60"/>
        <item x="23"/>
        <item x="72"/>
        <item x="42"/>
        <item x="30"/>
        <item x="68"/>
        <item x="16"/>
        <item x="57"/>
        <item x="73"/>
        <item x="27"/>
        <item x="67"/>
        <item x="39"/>
        <item x="43"/>
        <item x="8"/>
        <item x="58"/>
        <item x="34"/>
        <item x="11"/>
        <item x="55"/>
        <item x="50"/>
        <item x="6"/>
        <item x="36"/>
        <item x="18"/>
        <item x="14"/>
        <item x="61"/>
        <item x="26"/>
        <item x="21"/>
        <item x="38"/>
        <item x="75"/>
        <item x="71"/>
        <item x="52"/>
        <item x="66"/>
        <item x="24"/>
        <item x="63"/>
        <item x="35"/>
        <item x="48"/>
        <item x="44"/>
        <item x="65"/>
        <item x="22"/>
        <item x="2"/>
        <item x="32"/>
        <item x="53"/>
        <item x="17"/>
        <item x="33"/>
        <item x="19"/>
        <item x="41"/>
        <item x="74"/>
        <item x="9"/>
        <item x="0"/>
        <item t="default"/>
      </items>
    </pivotField>
    <pivotField showAll="0"/>
    <pivotField showAll="0"/>
    <pivotField showAll="0"/>
    <pivotField showAll="0"/>
    <pivotField showAll="0"/>
    <pivotField axis="axisRow" showAll="0" sortType="descending">
      <items count="24">
        <item x="15"/>
        <item x="16"/>
        <item x="4"/>
        <item x="7"/>
        <item x="19"/>
        <item x="1"/>
        <item x="6"/>
        <item x="10"/>
        <item x="18"/>
        <item x="3"/>
        <item x="0"/>
        <item x="21"/>
        <item x="17"/>
        <item x="12"/>
        <item x="20"/>
        <item x="9"/>
        <item x="14"/>
        <item x="8"/>
        <item x="13"/>
        <item x="11"/>
        <item x="2"/>
        <item x="5"/>
        <item m="1" x="22"/>
        <item t="default"/>
      </items>
      <autoSortScope>
        <pivotArea dataOnly="0" outline="0" fieldPosition="0">
          <references count="1">
            <reference field="4294967294" count="1" selected="0">
              <x v="0"/>
            </reference>
          </references>
        </pivotArea>
      </autoSortScope>
    </pivotField>
    <pivotField axis="axisCol" showAll="0">
      <items count="7">
        <item x="3"/>
        <item x="1"/>
        <item x="0"/>
        <item x="2"/>
        <item x="4"/>
        <item m="1" x="5"/>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8"/>
  </rowFields>
  <rowItems count="23">
    <i>
      <x v="16"/>
    </i>
    <i>
      <x v="4"/>
    </i>
    <i>
      <x v="3"/>
    </i>
    <i>
      <x v="17"/>
    </i>
    <i>
      <x v="20"/>
    </i>
    <i>
      <x v="5"/>
    </i>
    <i>
      <x v="7"/>
    </i>
    <i>
      <x v="18"/>
    </i>
    <i>
      <x v="15"/>
    </i>
    <i>
      <x v="8"/>
    </i>
    <i>
      <x v="11"/>
    </i>
    <i>
      <x v="6"/>
    </i>
    <i>
      <x v="21"/>
    </i>
    <i>
      <x v="2"/>
    </i>
    <i>
      <x/>
    </i>
    <i>
      <x v="9"/>
    </i>
    <i>
      <x v="19"/>
    </i>
    <i>
      <x v="1"/>
    </i>
    <i>
      <x v="10"/>
    </i>
    <i>
      <x v="13"/>
    </i>
    <i>
      <x v="14"/>
    </i>
    <i>
      <x v="12"/>
    </i>
    <i t="grand">
      <x/>
    </i>
  </rowItems>
  <colFields count="1">
    <field x="9"/>
  </colFields>
  <colItems count="6">
    <i>
      <x/>
    </i>
    <i>
      <x v="1"/>
    </i>
    <i>
      <x v="2"/>
    </i>
    <i>
      <x v="3"/>
    </i>
    <i>
      <x v="4"/>
    </i>
    <i t="grand">
      <x/>
    </i>
  </colItems>
  <dataFields count="1">
    <dataField name="Total Sales" fld="12" baseField="0" baseItem="0"/>
  </dataFields>
  <formats count="19">
    <format dxfId="30">
      <pivotArea collapsedLevelsAreSubtotals="1" fieldPosition="0">
        <references count="1">
          <reference field="8" count="1">
            <x v="16"/>
          </reference>
        </references>
      </pivotArea>
    </format>
    <format dxfId="29">
      <pivotArea dataOnly="0" labelOnly="1" fieldPosition="0">
        <references count="1">
          <reference field="8" count="1">
            <x v="16"/>
          </reference>
        </references>
      </pivotArea>
    </format>
    <format dxfId="28">
      <pivotArea collapsedLevelsAreSubtotals="1" fieldPosition="0">
        <references count="1">
          <reference field="8" count="1">
            <x v="16"/>
          </reference>
        </references>
      </pivotArea>
    </format>
    <format dxfId="27">
      <pivotArea dataOnly="0" labelOnly="1" fieldPosition="0">
        <references count="1">
          <reference field="8" count="1">
            <x v="16"/>
          </reference>
        </references>
      </pivotArea>
    </format>
    <format dxfId="26">
      <pivotArea outline="0" collapsedLevelsAreSubtotals="1" fieldPosition="0"/>
    </format>
    <format dxfId="25">
      <pivotArea field="9" type="button" dataOnly="0" labelOnly="1" outline="0" axis="axisCol" fieldPosition="0"/>
    </format>
    <format dxfId="24">
      <pivotArea type="topRight" dataOnly="0" labelOnly="1" outline="0" fieldPosition="0"/>
    </format>
    <format dxfId="23">
      <pivotArea dataOnly="0" labelOnly="1" fieldPosition="0">
        <references count="1">
          <reference field="9" count="0"/>
        </references>
      </pivotArea>
    </format>
    <format dxfId="22">
      <pivotArea dataOnly="0" labelOnly="1" grandCol="1" outline="0" fieldPosition="0"/>
    </format>
    <format dxfId="21">
      <pivotArea outline="0" collapsedLevelsAreSubtotals="1" fieldPosition="0"/>
    </format>
    <format dxfId="20">
      <pivotArea field="9" type="button" dataOnly="0" labelOnly="1" outline="0" axis="axisCol" fieldPosition="0"/>
    </format>
    <format dxfId="19">
      <pivotArea type="topRight" dataOnly="0" labelOnly="1" outline="0" fieldPosition="0"/>
    </format>
    <format dxfId="18">
      <pivotArea dataOnly="0" labelOnly="1" fieldPosition="0">
        <references count="1">
          <reference field="9" count="0"/>
        </references>
      </pivotArea>
    </format>
    <format dxfId="17">
      <pivotArea dataOnly="0" labelOnly="1" grandCol="1" outline="0" fieldPosition="0"/>
    </format>
    <format dxfId="16">
      <pivotArea outline="0" collapsedLevelsAreSubtotals="1" fieldPosition="0"/>
    </format>
    <format dxfId="15">
      <pivotArea field="9" type="button" dataOnly="0" labelOnly="1" outline="0" axis="axisCol" fieldPosition="0"/>
    </format>
    <format dxfId="14">
      <pivotArea type="topRight" dataOnly="0" labelOnly="1" outline="0" fieldPosition="0"/>
    </format>
    <format dxfId="13">
      <pivotArea dataOnly="0" labelOnly="1" fieldPosition="0">
        <references count="1">
          <reference field="9" count="0"/>
        </references>
      </pivotArea>
    </format>
    <format dxfId="12">
      <pivotArea dataOnly="0" labelOnly="1" grandCol="1" outline="0" fieldPosition="0"/>
    </format>
  </formats>
  <pivotTableStyleInfo name="PivotStyleMedium2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72E29E-24F0-47D6-8D25-C285D937939B}" name="order status table" cacheId="2" applyNumberFormats="0" applyBorderFormats="0" applyFontFormats="0" applyPatternFormats="0" applyAlignmentFormats="0" applyWidthHeightFormats="1" dataCaption="Values" grandTotalCaption="Total Orders" updatedVersion="8" minRefreshableVersion="5" useAutoFormatting="1" itemPrintTitles="1" createdVersion="8" indent="0" outline="1" outlineData="1" multipleFieldFilters="0" chartFormat="19">
  <location ref="A51:E58" firstHeaderRow="1" firstDataRow="2" firstDataCol="1"/>
  <pivotFields count="28">
    <pivotField dataField="1" showAll="0"/>
    <pivotField showAll="0"/>
    <pivotField numFmtId="14" showAll="0">
      <items count="78">
        <item x="7"/>
        <item x="49"/>
        <item x="5"/>
        <item x="37"/>
        <item x="25"/>
        <item x="59"/>
        <item x="46"/>
        <item x="4"/>
        <item x="51"/>
        <item x="40"/>
        <item x="56"/>
        <item x="20"/>
        <item x="15"/>
        <item x="28"/>
        <item x="70"/>
        <item x="69"/>
        <item x="1"/>
        <item x="13"/>
        <item x="12"/>
        <item x="47"/>
        <item x="62"/>
        <item x="29"/>
        <item x="76"/>
        <item x="10"/>
        <item x="3"/>
        <item x="64"/>
        <item x="45"/>
        <item x="54"/>
        <item x="31"/>
        <item x="60"/>
        <item x="23"/>
        <item x="72"/>
        <item x="42"/>
        <item x="30"/>
        <item x="68"/>
        <item x="16"/>
        <item x="57"/>
        <item x="73"/>
        <item x="27"/>
        <item x="67"/>
        <item x="39"/>
        <item x="43"/>
        <item x="8"/>
        <item x="58"/>
        <item x="34"/>
        <item x="11"/>
        <item x="55"/>
        <item x="50"/>
        <item x="6"/>
        <item x="36"/>
        <item x="18"/>
        <item x="14"/>
        <item x="61"/>
        <item x="26"/>
        <item x="21"/>
        <item x="38"/>
        <item x="75"/>
        <item x="71"/>
        <item x="52"/>
        <item x="66"/>
        <item x="24"/>
        <item x="63"/>
        <item x="35"/>
        <item x="48"/>
        <item x="44"/>
        <item x="65"/>
        <item x="22"/>
        <item x="2"/>
        <item x="32"/>
        <item x="53"/>
        <item x="17"/>
        <item x="33"/>
        <item x="19"/>
        <item x="41"/>
        <item x="74"/>
        <item x="9"/>
        <item x="0"/>
        <item t="default"/>
      </items>
    </pivotField>
    <pivotField showAll="0"/>
    <pivotField showAll="0"/>
    <pivotField showAll="0"/>
    <pivotField showAll="0"/>
    <pivotField axis="axisRow" showAll="0">
      <items count="7">
        <item x="4"/>
        <item x="3"/>
        <item x="2"/>
        <item x="0"/>
        <item x="1"/>
        <item m="1" x="5"/>
        <item t="default"/>
      </items>
    </pivotField>
    <pivotField showAll="0"/>
    <pivotField showAll="0">
      <items count="7">
        <item x="3"/>
        <item x="1"/>
        <item x="0"/>
        <item x="2"/>
        <item x="4"/>
        <item m="1" x="5"/>
        <item t="default"/>
      </items>
    </pivotField>
    <pivotField showAll="0"/>
    <pivotField showAll="0"/>
    <pivotField showAll="0"/>
    <pivotField showAll="0"/>
    <pivotField axis="axisCol" showAll="0">
      <items count="5">
        <item x="0"/>
        <item x="1"/>
        <item x="2"/>
        <item m="1" x="3"/>
        <item t="default"/>
      </items>
    </pivotField>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defaultSubtotal="0"/>
    <pivotField showAll="0" defaultSubtotal="0">
      <items count="6">
        <item x="0"/>
        <item x="1"/>
        <item x="2"/>
        <item x="3"/>
        <item x="4"/>
        <item x="5"/>
      </items>
    </pivotField>
  </pivotFields>
  <rowFields count="1">
    <field x="7"/>
  </rowFields>
  <rowItems count="6">
    <i>
      <x/>
    </i>
    <i>
      <x v="1"/>
    </i>
    <i>
      <x v="2"/>
    </i>
    <i>
      <x v="3"/>
    </i>
    <i>
      <x v="4"/>
    </i>
    <i t="grand">
      <x/>
    </i>
  </rowItems>
  <colFields count="1">
    <field x="14"/>
  </colFields>
  <colItems count="4">
    <i>
      <x/>
    </i>
    <i>
      <x v="1"/>
    </i>
    <i>
      <x v="2"/>
    </i>
    <i t="grand">
      <x/>
    </i>
  </colItems>
  <dataFields count="1">
    <dataField name="Count of Order count" fld="0" subtotal="count" baseField="7" baseItem="0"/>
  </dataFields>
  <formats count="7">
    <format dxfId="37">
      <pivotArea dataOnly="0" outline="0" fieldPosition="0">
        <references count="1">
          <reference field="4294967294" count="1">
            <x v="0"/>
          </reference>
        </references>
      </pivotArea>
    </format>
    <format dxfId="36">
      <pivotArea dataOnly="0" outline="0" fieldPosition="0">
        <references count="1">
          <reference field="4294967294" count="1">
            <x v="0"/>
          </reference>
        </references>
      </pivotArea>
    </format>
    <format dxfId="35">
      <pivotArea dataOnly="0" outline="0" fieldPosition="0">
        <references count="1">
          <reference field="4294967294" count="1">
            <x v="0"/>
          </reference>
        </references>
      </pivotArea>
    </format>
    <format dxfId="34">
      <pivotArea dataOnly="0" outline="0" fieldPosition="0">
        <references count="1">
          <reference field="14" count="0"/>
        </references>
      </pivotArea>
    </format>
    <format dxfId="33">
      <pivotArea dataOnly="0" outline="0" fieldPosition="0">
        <references count="1">
          <reference field="14" count="0"/>
        </references>
      </pivotArea>
    </format>
    <format dxfId="32">
      <pivotArea dataOnly="0" outline="0" fieldPosition="0">
        <references count="1">
          <reference field="14" count="0"/>
        </references>
      </pivotArea>
    </format>
    <format dxfId="31">
      <pivotArea outline="0" fieldPosition="0">
        <references count="1">
          <reference field="4294967294" count="1">
            <x v="0"/>
          </reference>
        </references>
      </pivotArea>
    </format>
  </formats>
  <chartFormats count="36">
    <chartFormat chart="3" format="21" series="1">
      <pivotArea type="data" outline="0" fieldPosition="0">
        <references count="2">
          <reference field="4294967294" count="1" selected="0">
            <x v="0"/>
          </reference>
          <reference field="14" count="1" selected="0">
            <x v="0"/>
          </reference>
        </references>
      </pivotArea>
    </chartFormat>
    <chartFormat chart="3" format="22">
      <pivotArea type="data" outline="0" fieldPosition="0">
        <references count="3">
          <reference field="4294967294" count="1" selected="0">
            <x v="0"/>
          </reference>
          <reference field="7" count="1" selected="0">
            <x v="0"/>
          </reference>
          <reference field="14" count="1" selected="0">
            <x v="0"/>
          </reference>
        </references>
      </pivotArea>
    </chartFormat>
    <chartFormat chart="3" format="23">
      <pivotArea type="data" outline="0" fieldPosition="0">
        <references count="3">
          <reference field="4294967294" count="1" selected="0">
            <x v="0"/>
          </reference>
          <reference field="7" count="1" selected="0">
            <x v="1"/>
          </reference>
          <reference field="14" count="1" selected="0">
            <x v="0"/>
          </reference>
        </references>
      </pivotArea>
    </chartFormat>
    <chartFormat chart="3" format="24">
      <pivotArea type="data" outline="0" fieldPosition="0">
        <references count="3">
          <reference field="4294967294" count="1" selected="0">
            <x v="0"/>
          </reference>
          <reference field="7" count="1" selected="0">
            <x v="2"/>
          </reference>
          <reference field="14" count="1" selected="0">
            <x v="0"/>
          </reference>
        </references>
      </pivotArea>
    </chartFormat>
    <chartFormat chart="3" format="25">
      <pivotArea type="data" outline="0" fieldPosition="0">
        <references count="3">
          <reference field="4294967294" count="1" selected="0">
            <x v="0"/>
          </reference>
          <reference field="7" count="1" selected="0">
            <x v="3"/>
          </reference>
          <reference field="14" count="1" selected="0">
            <x v="0"/>
          </reference>
        </references>
      </pivotArea>
    </chartFormat>
    <chartFormat chart="3" format="26">
      <pivotArea type="data" outline="0" fieldPosition="0">
        <references count="3">
          <reference field="4294967294" count="1" selected="0">
            <x v="0"/>
          </reference>
          <reference field="7" count="1" selected="0">
            <x v="4"/>
          </reference>
          <reference field="14" count="1" selected="0">
            <x v="0"/>
          </reference>
        </references>
      </pivotArea>
    </chartFormat>
    <chartFormat chart="3" format="27" series="1">
      <pivotArea type="data" outline="0" fieldPosition="0">
        <references count="2">
          <reference field="4294967294" count="1" selected="0">
            <x v="0"/>
          </reference>
          <reference field="14" count="1" selected="0">
            <x v="1"/>
          </reference>
        </references>
      </pivotArea>
    </chartFormat>
    <chartFormat chart="3" format="28">
      <pivotArea type="data" outline="0" fieldPosition="0">
        <references count="3">
          <reference field="4294967294" count="1" selected="0">
            <x v="0"/>
          </reference>
          <reference field="7" count="1" selected="0">
            <x v="0"/>
          </reference>
          <reference field="14" count="1" selected="0">
            <x v="1"/>
          </reference>
        </references>
      </pivotArea>
    </chartFormat>
    <chartFormat chart="3" format="29">
      <pivotArea type="data" outline="0" fieldPosition="0">
        <references count="3">
          <reference field="4294967294" count="1" selected="0">
            <x v="0"/>
          </reference>
          <reference field="7" count="1" selected="0">
            <x v="1"/>
          </reference>
          <reference field="14" count="1" selected="0">
            <x v="1"/>
          </reference>
        </references>
      </pivotArea>
    </chartFormat>
    <chartFormat chart="3" format="30">
      <pivotArea type="data" outline="0" fieldPosition="0">
        <references count="3">
          <reference field="4294967294" count="1" selected="0">
            <x v="0"/>
          </reference>
          <reference field="7" count="1" selected="0">
            <x v="2"/>
          </reference>
          <reference field="14" count="1" selected="0">
            <x v="1"/>
          </reference>
        </references>
      </pivotArea>
    </chartFormat>
    <chartFormat chart="3" format="31">
      <pivotArea type="data" outline="0" fieldPosition="0">
        <references count="3">
          <reference field="4294967294" count="1" selected="0">
            <x v="0"/>
          </reference>
          <reference field="7" count="1" selected="0">
            <x v="3"/>
          </reference>
          <reference field="14" count="1" selected="0">
            <x v="1"/>
          </reference>
        </references>
      </pivotArea>
    </chartFormat>
    <chartFormat chart="3" format="32">
      <pivotArea type="data" outline="0" fieldPosition="0">
        <references count="3">
          <reference field="4294967294" count="1" selected="0">
            <x v="0"/>
          </reference>
          <reference field="7" count="1" selected="0">
            <x v="4"/>
          </reference>
          <reference field="14" count="1" selected="0">
            <x v="1"/>
          </reference>
        </references>
      </pivotArea>
    </chartFormat>
    <chartFormat chart="3" format="33" series="1">
      <pivotArea type="data" outline="0" fieldPosition="0">
        <references count="2">
          <reference field="4294967294" count="1" selected="0">
            <x v="0"/>
          </reference>
          <reference field="14" count="1" selected="0">
            <x v="2"/>
          </reference>
        </references>
      </pivotArea>
    </chartFormat>
    <chartFormat chart="3" format="34">
      <pivotArea type="data" outline="0" fieldPosition="0">
        <references count="3">
          <reference field="4294967294" count="1" selected="0">
            <x v="0"/>
          </reference>
          <reference field="7" count="1" selected="0">
            <x v="0"/>
          </reference>
          <reference field="14" count="1" selected="0">
            <x v="2"/>
          </reference>
        </references>
      </pivotArea>
    </chartFormat>
    <chartFormat chart="3" format="35">
      <pivotArea type="data" outline="0" fieldPosition="0">
        <references count="3">
          <reference field="4294967294" count="1" selected="0">
            <x v="0"/>
          </reference>
          <reference field="7" count="1" selected="0">
            <x v="1"/>
          </reference>
          <reference field="14" count="1" selected="0">
            <x v="2"/>
          </reference>
        </references>
      </pivotArea>
    </chartFormat>
    <chartFormat chart="3" format="36">
      <pivotArea type="data" outline="0" fieldPosition="0">
        <references count="3">
          <reference field="4294967294" count="1" selected="0">
            <x v="0"/>
          </reference>
          <reference field="7" count="1" selected="0">
            <x v="2"/>
          </reference>
          <reference field="14" count="1" selected="0">
            <x v="2"/>
          </reference>
        </references>
      </pivotArea>
    </chartFormat>
    <chartFormat chart="3" format="37">
      <pivotArea type="data" outline="0" fieldPosition="0">
        <references count="3">
          <reference field="4294967294" count="1" selected="0">
            <x v="0"/>
          </reference>
          <reference field="7" count="1" selected="0">
            <x v="3"/>
          </reference>
          <reference field="14" count="1" selected="0">
            <x v="2"/>
          </reference>
        </references>
      </pivotArea>
    </chartFormat>
    <chartFormat chart="3" format="38">
      <pivotArea type="data" outline="0" fieldPosition="0">
        <references count="3">
          <reference field="4294967294" count="1" selected="0">
            <x v="0"/>
          </reference>
          <reference field="7" count="1" selected="0">
            <x v="4"/>
          </reference>
          <reference field="14" count="1" selected="0">
            <x v="2"/>
          </reference>
        </references>
      </pivotArea>
    </chartFormat>
    <chartFormat chart="16" format="75" series="1">
      <pivotArea type="data" outline="0" fieldPosition="0">
        <references count="2">
          <reference field="4294967294" count="1" selected="0">
            <x v="0"/>
          </reference>
          <reference field="14" count="1" selected="0">
            <x v="0"/>
          </reference>
        </references>
      </pivotArea>
    </chartFormat>
    <chartFormat chart="16" format="76">
      <pivotArea type="data" outline="0" fieldPosition="0">
        <references count="3">
          <reference field="4294967294" count="1" selected="0">
            <x v="0"/>
          </reference>
          <reference field="7" count="1" selected="0">
            <x v="0"/>
          </reference>
          <reference field="14" count="1" selected="0">
            <x v="0"/>
          </reference>
        </references>
      </pivotArea>
    </chartFormat>
    <chartFormat chart="16" format="77">
      <pivotArea type="data" outline="0" fieldPosition="0">
        <references count="3">
          <reference field="4294967294" count="1" selected="0">
            <x v="0"/>
          </reference>
          <reference field="7" count="1" selected="0">
            <x v="1"/>
          </reference>
          <reference field="14" count="1" selected="0">
            <x v="0"/>
          </reference>
        </references>
      </pivotArea>
    </chartFormat>
    <chartFormat chart="16" format="78">
      <pivotArea type="data" outline="0" fieldPosition="0">
        <references count="3">
          <reference field="4294967294" count="1" selected="0">
            <x v="0"/>
          </reference>
          <reference field="7" count="1" selected="0">
            <x v="2"/>
          </reference>
          <reference field="14" count="1" selected="0">
            <x v="0"/>
          </reference>
        </references>
      </pivotArea>
    </chartFormat>
    <chartFormat chart="16" format="79">
      <pivotArea type="data" outline="0" fieldPosition="0">
        <references count="3">
          <reference field="4294967294" count="1" selected="0">
            <x v="0"/>
          </reference>
          <reference field="7" count="1" selected="0">
            <x v="3"/>
          </reference>
          <reference field="14" count="1" selected="0">
            <x v="0"/>
          </reference>
        </references>
      </pivotArea>
    </chartFormat>
    <chartFormat chart="16" format="80">
      <pivotArea type="data" outline="0" fieldPosition="0">
        <references count="3">
          <reference field="4294967294" count="1" selected="0">
            <x v="0"/>
          </reference>
          <reference field="7" count="1" selected="0">
            <x v="4"/>
          </reference>
          <reference field="14" count="1" selected="0">
            <x v="0"/>
          </reference>
        </references>
      </pivotArea>
    </chartFormat>
    <chartFormat chart="16" format="81" series="1">
      <pivotArea type="data" outline="0" fieldPosition="0">
        <references count="2">
          <reference field="4294967294" count="1" selected="0">
            <x v="0"/>
          </reference>
          <reference field="14" count="1" selected="0">
            <x v="1"/>
          </reference>
        </references>
      </pivotArea>
    </chartFormat>
    <chartFormat chart="16" format="82">
      <pivotArea type="data" outline="0" fieldPosition="0">
        <references count="3">
          <reference field="4294967294" count="1" selected="0">
            <x v="0"/>
          </reference>
          <reference field="7" count="1" selected="0">
            <x v="0"/>
          </reference>
          <reference field="14" count="1" selected="0">
            <x v="1"/>
          </reference>
        </references>
      </pivotArea>
    </chartFormat>
    <chartFormat chart="16" format="83">
      <pivotArea type="data" outline="0" fieldPosition="0">
        <references count="3">
          <reference field="4294967294" count="1" selected="0">
            <x v="0"/>
          </reference>
          <reference field="7" count="1" selected="0">
            <x v="1"/>
          </reference>
          <reference field="14" count="1" selected="0">
            <x v="1"/>
          </reference>
        </references>
      </pivotArea>
    </chartFormat>
    <chartFormat chart="16" format="84">
      <pivotArea type="data" outline="0" fieldPosition="0">
        <references count="3">
          <reference field="4294967294" count="1" selected="0">
            <x v="0"/>
          </reference>
          <reference field="7" count="1" selected="0">
            <x v="2"/>
          </reference>
          <reference field="14" count="1" selected="0">
            <x v="1"/>
          </reference>
        </references>
      </pivotArea>
    </chartFormat>
    <chartFormat chart="16" format="85">
      <pivotArea type="data" outline="0" fieldPosition="0">
        <references count="3">
          <reference field="4294967294" count="1" selected="0">
            <x v="0"/>
          </reference>
          <reference field="7" count="1" selected="0">
            <x v="3"/>
          </reference>
          <reference field="14" count="1" selected="0">
            <x v="1"/>
          </reference>
        </references>
      </pivotArea>
    </chartFormat>
    <chartFormat chart="16" format="86">
      <pivotArea type="data" outline="0" fieldPosition="0">
        <references count="3">
          <reference field="4294967294" count="1" selected="0">
            <x v="0"/>
          </reference>
          <reference field="7" count="1" selected="0">
            <x v="4"/>
          </reference>
          <reference field="14" count="1" selected="0">
            <x v="1"/>
          </reference>
        </references>
      </pivotArea>
    </chartFormat>
    <chartFormat chart="16" format="87" series="1">
      <pivotArea type="data" outline="0" fieldPosition="0">
        <references count="2">
          <reference field="4294967294" count="1" selected="0">
            <x v="0"/>
          </reference>
          <reference field="14" count="1" selected="0">
            <x v="2"/>
          </reference>
        </references>
      </pivotArea>
    </chartFormat>
    <chartFormat chart="16" format="88">
      <pivotArea type="data" outline="0" fieldPosition="0">
        <references count="3">
          <reference field="4294967294" count="1" selected="0">
            <x v="0"/>
          </reference>
          <reference field="7" count="1" selected="0">
            <x v="0"/>
          </reference>
          <reference field="14" count="1" selected="0">
            <x v="2"/>
          </reference>
        </references>
      </pivotArea>
    </chartFormat>
    <chartFormat chart="16" format="89">
      <pivotArea type="data" outline="0" fieldPosition="0">
        <references count="3">
          <reference field="4294967294" count="1" selected="0">
            <x v="0"/>
          </reference>
          <reference field="7" count="1" selected="0">
            <x v="1"/>
          </reference>
          <reference field="14" count="1" selected="0">
            <x v="2"/>
          </reference>
        </references>
      </pivotArea>
    </chartFormat>
    <chartFormat chart="16" format="90">
      <pivotArea type="data" outline="0" fieldPosition="0">
        <references count="3">
          <reference field="4294967294" count="1" selected="0">
            <x v="0"/>
          </reference>
          <reference field="7" count="1" selected="0">
            <x v="2"/>
          </reference>
          <reference field="14" count="1" selected="0">
            <x v="2"/>
          </reference>
        </references>
      </pivotArea>
    </chartFormat>
    <chartFormat chart="16" format="91">
      <pivotArea type="data" outline="0" fieldPosition="0">
        <references count="3">
          <reference field="4294967294" count="1" selected="0">
            <x v="0"/>
          </reference>
          <reference field="7" count="1" selected="0">
            <x v="3"/>
          </reference>
          <reference field="14" count="1" selected="0">
            <x v="2"/>
          </reference>
        </references>
      </pivotArea>
    </chartFormat>
    <chartFormat chart="16" format="92">
      <pivotArea type="data" outline="0" fieldPosition="0">
        <references count="3">
          <reference field="4294967294" count="1" selected="0">
            <x v="0"/>
          </reference>
          <reference field="7" count="1" selected="0">
            <x v="4"/>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778F260-B347-4D67-B8DE-9A0BD883EC68}" name="Regionwise table"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colHeaderCaption="">
  <location ref="A30:G48" firstHeaderRow="1" firstDataRow="2" firstDataCol="1"/>
  <pivotFields count="28">
    <pivotField showAll="0"/>
    <pivotField showAll="0"/>
    <pivotField numFmtId="14" multipleItemSelectionAllowed="1" showAll="0">
      <items count="78">
        <item x="7"/>
        <item x="49"/>
        <item x="5"/>
        <item x="37"/>
        <item x="25"/>
        <item x="59"/>
        <item x="46"/>
        <item x="4"/>
        <item x="51"/>
        <item x="40"/>
        <item x="56"/>
        <item x="20"/>
        <item x="15"/>
        <item x="28"/>
        <item x="70"/>
        <item x="69"/>
        <item x="1"/>
        <item x="13"/>
        <item x="12"/>
        <item x="47"/>
        <item x="62"/>
        <item x="29"/>
        <item x="76"/>
        <item x="10"/>
        <item x="3"/>
        <item x="64"/>
        <item x="45"/>
        <item x="54"/>
        <item x="31"/>
        <item x="60"/>
        <item x="23"/>
        <item x="72"/>
        <item x="42"/>
        <item x="30"/>
        <item x="68"/>
        <item x="16"/>
        <item x="57"/>
        <item x="73"/>
        <item x="27"/>
        <item x="67"/>
        <item x="39"/>
        <item x="43"/>
        <item x="8"/>
        <item x="58"/>
        <item x="34"/>
        <item x="11"/>
        <item x="55"/>
        <item x="50"/>
        <item x="6"/>
        <item x="36"/>
        <item x="18"/>
        <item x="14"/>
        <item x="61"/>
        <item x="26"/>
        <item x="21"/>
        <item x="38"/>
        <item x="75"/>
        <item x="71"/>
        <item x="52"/>
        <item x="66"/>
        <item x="24"/>
        <item x="63"/>
        <item x="35"/>
        <item x="48"/>
        <item x="44"/>
        <item x="65"/>
        <item x="22"/>
        <item x="2"/>
        <item x="32"/>
        <item x="53"/>
        <item x="17"/>
        <item x="33"/>
        <item x="19"/>
        <item x="41"/>
        <item x="74"/>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items count="28">
        <item x="26"/>
        <item x="3"/>
        <item x="10"/>
        <item x="8"/>
        <item x="7"/>
        <item x="16"/>
        <item x="17"/>
        <item x="20"/>
        <item x="5"/>
        <item x="23"/>
        <item x="15"/>
        <item x="24"/>
        <item x="12"/>
        <item x="21"/>
        <item x="22"/>
        <item x="6"/>
        <item x="4"/>
        <item x="13"/>
        <item x="9"/>
        <item x="11"/>
        <item x="19"/>
        <item x="2"/>
        <item x="18"/>
        <item x="25"/>
        <item x="14"/>
        <item x="0"/>
        <item x="1"/>
        <item t="default"/>
      </items>
    </pivotField>
    <pivotField showAll="0"/>
    <pivotField showAll="0"/>
    <pivotField showAll="0"/>
    <pivotField showAll="0"/>
    <pivotField axis="axisCol" multipleItemSelectionAllowed="1" showAll="0">
      <items count="7">
        <item x="3"/>
        <item x="1"/>
        <item x="0"/>
        <item x="2"/>
        <item x="4"/>
        <item m="1" x="5"/>
        <item t="default"/>
      </items>
    </pivotField>
    <pivotField showAll="0"/>
    <pivotField showAll="0"/>
    <pivotField dataField="1" showAll="0"/>
    <pivotField multipleItemSelectionAllowed="1" showAll="0">
      <items count="7">
        <item x="3"/>
        <item x="0"/>
        <item x="1"/>
        <item x="4"/>
        <item x="2"/>
        <item m="1" x="5"/>
        <item t="default"/>
      </items>
    </pivotField>
    <pivotField multipleItemSelectionAllowed="1" showAll="0">
      <items count="5">
        <item x="0"/>
        <item x="1"/>
        <item x="2"/>
        <item m="1" x="3"/>
        <item t="default"/>
      </items>
    </pivotField>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axis="axisRow" showAll="0">
      <items count="15">
        <item x="0"/>
        <item x="1"/>
        <item x="2"/>
        <item x="3"/>
        <item x="4"/>
        <item x="5"/>
        <item x="6"/>
        <item x="7"/>
        <item x="8"/>
        <item x="9"/>
        <item x="10"/>
        <item x="11"/>
        <item x="12"/>
        <item x="13"/>
        <item t="default"/>
      </items>
    </pivotField>
    <pivotField axis="axisRow" showAll="0">
      <items count="7">
        <item sd="0" x="0"/>
        <item x="1"/>
        <item x="2"/>
        <item x="3"/>
        <item x="4"/>
        <item sd="0" x="5"/>
        <item t="default" sd="0"/>
      </items>
    </pivotField>
  </pivotFields>
  <rowFields count="2">
    <field x="27"/>
    <field x="26"/>
  </rowFields>
  <rowItems count="17">
    <i>
      <x v="1"/>
    </i>
    <i r="1">
      <x v="1"/>
    </i>
    <i r="1">
      <x v="2"/>
    </i>
    <i r="1">
      <x v="3"/>
    </i>
    <i>
      <x v="2"/>
    </i>
    <i r="1">
      <x v="4"/>
    </i>
    <i r="1">
      <x v="5"/>
    </i>
    <i r="1">
      <x v="6"/>
    </i>
    <i>
      <x v="3"/>
    </i>
    <i r="1">
      <x v="7"/>
    </i>
    <i r="1">
      <x v="8"/>
    </i>
    <i r="1">
      <x v="9"/>
    </i>
    <i>
      <x v="4"/>
    </i>
    <i r="1">
      <x v="10"/>
    </i>
    <i r="1">
      <x v="11"/>
    </i>
    <i r="1">
      <x v="12"/>
    </i>
    <i t="grand">
      <x/>
    </i>
  </rowItems>
  <colFields count="1">
    <field x="9"/>
  </colFields>
  <colItems count="6">
    <i>
      <x/>
    </i>
    <i>
      <x v="1"/>
    </i>
    <i>
      <x v="2"/>
    </i>
    <i>
      <x v="3"/>
    </i>
    <i>
      <x v="4"/>
    </i>
    <i t="grand">
      <x/>
    </i>
  </colItems>
  <dataFields count="1">
    <dataField name="Regionwise Sales" fld="12" baseField="7" baseItem="0"/>
  </dataFields>
  <formats count="55">
    <format dxfId="92">
      <pivotArea outline="0" collapsedLevelsAreSubtotals="1" fieldPosition="0"/>
    </format>
    <format dxfId="91">
      <pivotArea dataOnly="0" labelOnly="1" outline="0" axis="axisValues" fieldPosition="0"/>
    </format>
    <format dxfId="90">
      <pivotArea outline="0" collapsedLevelsAreSubtotals="1" fieldPosition="0"/>
    </format>
    <format dxfId="89">
      <pivotArea dataOnly="0" labelOnly="1" outline="0" axis="axisValues" fieldPosition="0"/>
    </format>
    <format dxfId="88">
      <pivotArea outline="0" collapsedLevelsAreSubtotals="1" fieldPosition="0">
        <references count="1">
          <reference field="9" count="0" selected="0"/>
        </references>
      </pivotArea>
    </format>
    <format dxfId="87">
      <pivotArea dataOnly="0" labelOnly="1" fieldPosition="0">
        <references count="1">
          <reference field="9" count="0"/>
        </references>
      </pivotArea>
    </format>
    <format dxfId="86">
      <pivotArea outline="0" collapsedLevelsAreSubtotals="1" fieldPosition="0">
        <references count="1">
          <reference field="9" count="0" selected="0"/>
        </references>
      </pivotArea>
    </format>
    <format dxfId="85">
      <pivotArea dataOnly="0" labelOnly="1" fieldPosition="0">
        <references count="1">
          <reference field="9" count="0"/>
        </references>
      </pivotArea>
    </format>
    <format dxfId="84">
      <pivotArea type="all" dataOnly="0" outline="0" fieldPosition="0"/>
    </format>
    <format dxfId="83">
      <pivotArea type="origin" dataOnly="0" labelOnly="1" outline="0" fieldPosition="0"/>
    </format>
    <format dxfId="82">
      <pivotArea dataOnly="0" labelOnly="1" grandCol="1" outline="0" fieldPosition="0"/>
    </format>
    <format dxfId="81">
      <pivotArea dataOnly="0" labelOnly="1" grandCol="1" outline="0" fieldPosition="0"/>
    </format>
    <format dxfId="80">
      <pivotArea type="origin" dataOnly="0" labelOnly="1" outline="0" fieldPosition="0"/>
    </format>
    <format dxfId="79">
      <pivotArea type="origin" dataOnly="0" labelOnly="1" outline="0" fieldPosition="0"/>
    </format>
    <format dxfId="78">
      <pivotArea outline="0" collapsedLevelsAreSubtotals="1" fieldPosition="0"/>
    </format>
    <format dxfId="77">
      <pivotArea dataOnly="0" labelOnly="1" grandRow="1" outline="0" fieldPosition="0"/>
    </format>
    <format dxfId="76">
      <pivotArea grandRow="1" outline="0" collapsedLevelsAreSubtotals="1" fieldPosition="0"/>
    </format>
    <format dxfId="75">
      <pivotArea dataOnly="0" labelOnly="1" grandRow="1" outline="0" fieldPosition="0"/>
    </format>
    <format dxfId="74">
      <pivotArea grandRow="1" outline="0" collapsedLevelsAreSubtotals="1" fieldPosition="0"/>
    </format>
    <format dxfId="73">
      <pivotArea dataOnly="0" labelOnly="1" grandRow="1" outline="0" fieldPosition="0"/>
    </format>
    <format dxfId="72">
      <pivotArea grandRow="1" outline="0" collapsedLevelsAreSubtotals="1" fieldPosition="0"/>
    </format>
    <format dxfId="71">
      <pivotArea dataOnly="0" labelOnly="1" grandRow="1" outline="0" fieldPosition="0"/>
    </format>
    <format dxfId="70">
      <pivotArea collapsedLevelsAreSubtotals="1" fieldPosition="0">
        <references count="1">
          <reference field="27" count="1">
            <x v="1"/>
          </reference>
        </references>
      </pivotArea>
    </format>
    <format dxfId="69">
      <pivotArea collapsedLevelsAreSubtotals="1" fieldPosition="0">
        <references count="2">
          <reference field="26" count="3">
            <x v="1"/>
            <x v="2"/>
            <x v="3"/>
          </reference>
          <reference field="27" count="1" selected="0">
            <x v="1"/>
          </reference>
        </references>
      </pivotArea>
    </format>
    <format dxfId="68">
      <pivotArea collapsedLevelsAreSubtotals="1" fieldPosition="0">
        <references count="1">
          <reference field="27" count="1">
            <x v="2"/>
          </reference>
        </references>
      </pivotArea>
    </format>
    <format dxfId="67">
      <pivotArea collapsedLevelsAreSubtotals="1" fieldPosition="0">
        <references count="2">
          <reference field="26" count="3">
            <x v="4"/>
            <x v="5"/>
            <x v="6"/>
          </reference>
          <reference field="27" count="1" selected="0">
            <x v="2"/>
          </reference>
        </references>
      </pivotArea>
    </format>
    <format dxfId="66">
      <pivotArea collapsedLevelsAreSubtotals="1" fieldPosition="0">
        <references count="1">
          <reference field="27" count="1">
            <x v="3"/>
          </reference>
        </references>
      </pivotArea>
    </format>
    <format dxfId="65">
      <pivotArea collapsedLevelsAreSubtotals="1" fieldPosition="0">
        <references count="2">
          <reference field="26" count="3">
            <x v="7"/>
            <x v="8"/>
            <x v="9"/>
          </reference>
          <reference field="27" count="1" selected="0">
            <x v="3"/>
          </reference>
        </references>
      </pivotArea>
    </format>
    <format dxfId="64">
      <pivotArea collapsedLevelsAreSubtotals="1" fieldPosition="0">
        <references count="1">
          <reference field="27" count="1">
            <x v="4"/>
          </reference>
        </references>
      </pivotArea>
    </format>
    <format dxfId="63">
      <pivotArea collapsedLevelsAreSubtotals="1" fieldPosition="0">
        <references count="2">
          <reference field="26" count="3">
            <x v="10"/>
            <x v="11"/>
            <x v="12"/>
          </reference>
          <reference field="27" count="1" selected="0">
            <x v="4"/>
          </reference>
        </references>
      </pivotArea>
    </format>
    <format dxfId="62">
      <pivotArea collapsedLevelsAreSubtotals="1" fieldPosition="0">
        <references count="1">
          <reference field="27" count="1">
            <x v="1"/>
          </reference>
        </references>
      </pivotArea>
    </format>
    <format dxfId="61">
      <pivotArea dataOnly="0" labelOnly="1" fieldPosition="0">
        <references count="1">
          <reference field="27" count="1">
            <x v="1"/>
          </reference>
        </references>
      </pivotArea>
    </format>
    <format dxfId="60">
      <pivotArea collapsedLevelsAreSubtotals="1" fieldPosition="0">
        <references count="1">
          <reference field="27" count="1">
            <x v="2"/>
          </reference>
        </references>
      </pivotArea>
    </format>
    <format dxfId="59">
      <pivotArea dataOnly="0" labelOnly="1" fieldPosition="0">
        <references count="1">
          <reference field="27" count="1">
            <x v="2"/>
          </reference>
        </references>
      </pivotArea>
    </format>
    <format dxfId="58">
      <pivotArea collapsedLevelsAreSubtotals="1" fieldPosition="0">
        <references count="1">
          <reference field="27" count="1">
            <x v="3"/>
          </reference>
        </references>
      </pivotArea>
    </format>
    <format dxfId="57">
      <pivotArea dataOnly="0" labelOnly="1" fieldPosition="0">
        <references count="1">
          <reference field="27" count="1">
            <x v="3"/>
          </reference>
        </references>
      </pivotArea>
    </format>
    <format dxfId="56">
      <pivotArea collapsedLevelsAreSubtotals="1" fieldPosition="0">
        <references count="1">
          <reference field="27" count="1">
            <x v="4"/>
          </reference>
        </references>
      </pivotArea>
    </format>
    <format dxfId="55">
      <pivotArea dataOnly="0" labelOnly="1" fieldPosition="0">
        <references count="1">
          <reference field="27" count="1">
            <x v="4"/>
          </reference>
        </references>
      </pivotArea>
    </format>
    <format dxfId="54">
      <pivotArea dataOnly="0" grandRow="1" fieldPosition="0"/>
    </format>
    <format dxfId="53">
      <pivotArea collapsedLevelsAreSubtotals="1" fieldPosition="0">
        <references count="1">
          <reference field="27" count="1">
            <x v="1"/>
          </reference>
        </references>
      </pivotArea>
    </format>
    <format dxfId="52">
      <pivotArea collapsedLevelsAreSubtotals="1" fieldPosition="0">
        <references count="2">
          <reference field="26" count="1">
            <x v="1"/>
          </reference>
          <reference field="27" count="1" selected="0">
            <x v="1"/>
          </reference>
        </references>
      </pivotArea>
    </format>
    <format dxfId="51">
      <pivotArea collapsedLevelsAreSubtotals="1" fieldPosition="0">
        <references count="2">
          <reference field="26" count="1">
            <x v="2"/>
          </reference>
          <reference field="27" count="1" selected="0">
            <x v="1"/>
          </reference>
        </references>
      </pivotArea>
    </format>
    <format dxfId="50">
      <pivotArea collapsedLevelsAreSubtotals="1" fieldPosition="0">
        <references count="2">
          <reference field="26" count="1">
            <x v="3"/>
          </reference>
          <reference field="27" count="1" selected="0">
            <x v="1"/>
          </reference>
        </references>
      </pivotArea>
    </format>
    <format dxfId="49">
      <pivotArea collapsedLevelsAreSubtotals="1" fieldPosition="0">
        <references count="1">
          <reference field="27" count="1">
            <x v="2"/>
          </reference>
        </references>
      </pivotArea>
    </format>
    <format dxfId="48">
      <pivotArea collapsedLevelsAreSubtotals="1" fieldPosition="0">
        <references count="2">
          <reference field="26" count="1">
            <x v="4"/>
          </reference>
          <reference field="27" count="1" selected="0">
            <x v="2"/>
          </reference>
        </references>
      </pivotArea>
    </format>
    <format dxfId="47">
      <pivotArea collapsedLevelsAreSubtotals="1" fieldPosition="0">
        <references count="2">
          <reference field="26" count="1">
            <x v="5"/>
          </reference>
          <reference field="27" count="1" selected="0">
            <x v="2"/>
          </reference>
        </references>
      </pivotArea>
    </format>
    <format dxfId="46">
      <pivotArea collapsedLevelsAreSubtotals="1" fieldPosition="0">
        <references count="2">
          <reference field="26" count="1">
            <x v="6"/>
          </reference>
          <reference field="27" count="1" selected="0">
            <x v="2"/>
          </reference>
        </references>
      </pivotArea>
    </format>
    <format dxfId="45">
      <pivotArea collapsedLevelsAreSubtotals="1" fieldPosition="0">
        <references count="1">
          <reference field="27" count="1">
            <x v="3"/>
          </reference>
        </references>
      </pivotArea>
    </format>
    <format dxfId="44">
      <pivotArea collapsedLevelsAreSubtotals="1" fieldPosition="0">
        <references count="2">
          <reference field="26" count="1">
            <x v="7"/>
          </reference>
          <reference field="27" count="1" selected="0">
            <x v="3"/>
          </reference>
        </references>
      </pivotArea>
    </format>
    <format dxfId="43">
      <pivotArea collapsedLevelsAreSubtotals="1" fieldPosition="0">
        <references count="2">
          <reference field="26" count="1">
            <x v="8"/>
          </reference>
          <reference field="27" count="1" selected="0">
            <x v="3"/>
          </reference>
        </references>
      </pivotArea>
    </format>
    <format dxfId="42">
      <pivotArea collapsedLevelsAreSubtotals="1" fieldPosition="0">
        <references count="2">
          <reference field="26" count="1">
            <x v="9"/>
          </reference>
          <reference field="27" count="1" selected="0">
            <x v="3"/>
          </reference>
        </references>
      </pivotArea>
    </format>
    <format dxfId="41">
      <pivotArea collapsedLevelsAreSubtotals="1" fieldPosition="0">
        <references count="1">
          <reference field="27" count="1">
            <x v="4"/>
          </reference>
        </references>
      </pivotArea>
    </format>
    <format dxfId="40">
      <pivotArea collapsedLevelsAreSubtotals="1" fieldPosition="0">
        <references count="2">
          <reference field="26" count="1">
            <x v="10"/>
          </reference>
          <reference field="27" count="1" selected="0">
            <x v="4"/>
          </reference>
        </references>
      </pivotArea>
    </format>
    <format dxfId="39">
      <pivotArea collapsedLevelsAreSubtotals="1" fieldPosition="0">
        <references count="2">
          <reference field="26" count="1">
            <x v="11"/>
          </reference>
          <reference field="27" count="1" selected="0">
            <x v="4"/>
          </reference>
        </references>
      </pivotArea>
    </format>
    <format dxfId="38">
      <pivotArea collapsedLevelsAreSubtotals="1" fieldPosition="0">
        <references count="2">
          <reference field="26" count="1">
            <x v="12"/>
          </reference>
          <reference field="27" count="1" selected="0">
            <x v="4"/>
          </reference>
        </references>
      </pivotArea>
    </format>
  </formats>
  <conditionalFormats count="1">
    <conditionalFormat priority="2">
      <pivotAreas count="1">
        <pivotArea type="data" grandRow="1" outline="0" collapsedLevelsAreSubtotals="1" fieldPosition="0">
          <references count="2">
            <reference field="4294967294" count="1" selected="0">
              <x v="0"/>
            </reference>
            <reference field="9" count="5" selected="0">
              <x v="0"/>
              <x v="1"/>
              <x v="2"/>
              <x v="3"/>
              <x v="4"/>
            </reference>
          </references>
        </pivotArea>
      </pivotAreas>
    </conditionalFormat>
  </conditionalFormats>
  <chartFormats count="6">
    <chartFormat chart="5" format="15" series="1">
      <pivotArea type="data" outline="0" fieldPosition="0">
        <references count="1">
          <reference field="4294967294" count="1" selected="0">
            <x v="0"/>
          </reference>
        </references>
      </pivotArea>
    </chartFormat>
    <chartFormat chart="5" format="16" series="1">
      <pivotArea type="data" outline="0" fieldPosition="0">
        <references count="2">
          <reference field="4294967294" count="1" selected="0">
            <x v="0"/>
          </reference>
          <reference field="9" count="1" selected="0">
            <x v="1"/>
          </reference>
        </references>
      </pivotArea>
    </chartFormat>
    <chartFormat chart="5" format="17" series="1">
      <pivotArea type="data" outline="0" fieldPosition="0">
        <references count="2">
          <reference field="4294967294" count="1" selected="0">
            <x v="0"/>
          </reference>
          <reference field="9" count="1" selected="0">
            <x v="2"/>
          </reference>
        </references>
      </pivotArea>
    </chartFormat>
    <chartFormat chart="5" format="18" series="1">
      <pivotArea type="data" outline="0" fieldPosition="0">
        <references count="2">
          <reference field="4294967294" count="1" selected="0">
            <x v="0"/>
          </reference>
          <reference field="9" count="1" selected="0">
            <x v="3"/>
          </reference>
        </references>
      </pivotArea>
    </chartFormat>
    <chartFormat chart="5" format="19" series="1">
      <pivotArea type="data" outline="0" fieldPosition="0">
        <references count="2">
          <reference field="4294967294" count="1" selected="0">
            <x v="0"/>
          </reference>
          <reference field="9" count="1" selected="0">
            <x v="4"/>
          </reference>
        </references>
      </pivotArea>
    </chartFormat>
    <chartFormat chart="5" format="45" series="1">
      <pivotArea type="data" outline="0" fieldPosition="0">
        <references count="2">
          <reference field="4294967294" count="1" selected="0">
            <x v="0"/>
          </reference>
          <reference field="9" count="1" selected="0">
            <x v="0"/>
          </reference>
        </references>
      </pivotArea>
    </chartFormat>
  </chart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A838EF1-32EE-46A7-AAC9-D7D484255F83}" name="Salestable" cacheId="2" applyNumberFormats="0" applyBorderFormats="0" applyFontFormats="0" applyPatternFormats="0" applyAlignmentFormats="0" applyWidthHeightFormats="1" dataCaption="Values" updatedVersion="8" minRefreshableVersion="5" useAutoFormatting="1" itemPrintTitles="1" createdVersion="8" indent="0" outline="1" outlineData="1" chartFormat="26" rowHeaderCaption="Regions">
  <location ref="A4:G10" firstHeaderRow="0" firstDataRow="1" firstDataCol="1"/>
  <pivotFields count="28">
    <pivotField showAll="0"/>
    <pivotField dataField="1" showAll="0"/>
    <pivotField numFmtId="14" showAll="0">
      <items count="78">
        <item x="7"/>
        <item x="49"/>
        <item x="5"/>
        <item x="37"/>
        <item x="25"/>
        <item x="59"/>
        <item x="46"/>
        <item x="4"/>
        <item x="51"/>
        <item x="40"/>
        <item x="56"/>
        <item x="20"/>
        <item x="15"/>
        <item x="28"/>
        <item x="70"/>
        <item x="69"/>
        <item x="1"/>
        <item x="13"/>
        <item x="12"/>
        <item x="47"/>
        <item x="62"/>
        <item x="29"/>
        <item x="76"/>
        <item x="10"/>
        <item x="3"/>
        <item x="64"/>
        <item x="45"/>
        <item x="54"/>
        <item x="31"/>
        <item x="60"/>
        <item x="23"/>
        <item x="72"/>
        <item x="42"/>
        <item x="30"/>
        <item x="68"/>
        <item x="16"/>
        <item x="57"/>
        <item x="73"/>
        <item x="27"/>
        <item x="67"/>
        <item x="39"/>
        <item x="43"/>
        <item x="8"/>
        <item x="58"/>
        <item x="34"/>
        <item x="11"/>
        <item x="55"/>
        <item x="50"/>
        <item x="6"/>
        <item x="36"/>
        <item x="18"/>
        <item x="14"/>
        <item x="61"/>
        <item x="26"/>
        <item x="21"/>
        <item x="38"/>
        <item x="75"/>
        <item x="71"/>
        <item x="52"/>
        <item x="66"/>
        <item x="24"/>
        <item x="63"/>
        <item x="35"/>
        <item x="48"/>
        <item x="44"/>
        <item x="65"/>
        <item x="22"/>
        <item x="2"/>
        <item x="32"/>
        <item x="53"/>
        <item x="17"/>
        <item x="33"/>
        <item x="19"/>
        <item x="41"/>
        <item x="74"/>
        <item x="9"/>
        <item x="0"/>
        <item t="default"/>
      </items>
    </pivotField>
    <pivotField showAll="0"/>
    <pivotField showAll="0"/>
    <pivotField showAll="0"/>
    <pivotField showAll="0"/>
    <pivotField showAll="0"/>
    <pivotField showAll="0"/>
    <pivotField axis="axisRow" showAll="0">
      <items count="7">
        <item x="3"/>
        <item x="1"/>
        <item x="0"/>
        <item x="2"/>
        <item x="4"/>
        <item m="1" x="5"/>
        <item t="default"/>
      </items>
    </pivotField>
    <pivotField showAll="0"/>
    <pivotField showAll="0"/>
    <pivotField dataField="1" showAll="0"/>
    <pivotField showAll="0">
      <items count="7">
        <item x="3"/>
        <item x="0"/>
        <item x="1"/>
        <item x="4"/>
        <item x="2"/>
        <item m="1" x="5"/>
        <item t="default"/>
      </items>
    </pivotField>
    <pivotField showAll="0">
      <items count="5">
        <item x="0"/>
        <item x="1"/>
        <item x="2"/>
        <item m="1" x="3"/>
        <item t="default"/>
      </items>
    </pivotField>
    <pivotField showAll="0"/>
    <pivotField showAll="0"/>
    <pivotField showAll="0"/>
    <pivotField dataField="1" showAll="0"/>
    <pivotField dataField="1" showAll="0"/>
    <pivotField dataField="1" showAll="0"/>
    <pivotField showAll="0"/>
    <pivotField showAll="0"/>
    <pivotField dragToRow="0" dragToCol="0" dragToPage="0" showAll="0" defaultSubtotal="0"/>
    <pivotField dragToRow="0" dragToCol="0" dragToPage="0" showAll="0" defaultSubtotal="0"/>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9"/>
  </rowFields>
  <rowItems count="6">
    <i>
      <x/>
    </i>
    <i>
      <x v="1"/>
    </i>
    <i>
      <x v="2"/>
    </i>
    <i>
      <x v="3"/>
    </i>
    <i>
      <x v="4"/>
    </i>
    <i t="grand">
      <x/>
    </i>
  </rowItems>
  <colFields count="1">
    <field x="-2"/>
  </colFields>
  <colItems count="6">
    <i>
      <x/>
    </i>
    <i i="1">
      <x v="1"/>
    </i>
    <i i="2">
      <x v="2"/>
    </i>
    <i i="3">
      <x v="3"/>
    </i>
    <i i="4">
      <x v="4"/>
    </i>
    <i i="5">
      <x v="5"/>
    </i>
  </colItems>
  <dataFields count="6">
    <dataField name="Total Orders" fld="1" subtotal="count" baseField="14" baseItem="0"/>
    <dataField name="Cancelled Orders" fld="18" baseField="15" baseItem="1"/>
    <dataField name="Delivered Orders" fld="19" baseField="0" baseItem="0"/>
    <dataField name="Effective Sales" fld="20" baseField="0" baseItem="0"/>
    <dataField name="Cancellation Rate" fld="25" subtotal="average" baseField="9" baseItem="0" numFmtId="10"/>
    <dataField name="Total Sales" fld="12" baseField="0" baseItem="0"/>
  </dataFields>
  <formats count="21">
    <format dxfId="113">
      <pivotArea field="9" type="button" dataOnly="0" labelOnly="1" outline="0" axis="axisRow" fieldPosition="0"/>
    </format>
    <format dxfId="112">
      <pivotArea dataOnly="0" labelOnly="1" outline="0" fieldPosition="0">
        <references count="1">
          <reference field="4294967294" count="2">
            <x v="2"/>
            <x v="3"/>
          </reference>
        </references>
      </pivotArea>
    </format>
    <format dxfId="111">
      <pivotArea outline="0" collapsedLevelsAreSubtotals="1" fieldPosition="0"/>
    </format>
    <format dxfId="110">
      <pivotArea outline="0" collapsedLevelsAreSubtotals="1" fieldPosition="0"/>
    </format>
    <format dxfId="109">
      <pivotArea dataOnly="0" labelOnly="1" outline="0" fieldPosition="0">
        <references count="1">
          <reference field="4294967294" count="2">
            <x v="0"/>
            <x v="1"/>
          </reference>
        </references>
      </pivotArea>
    </format>
    <format dxfId="108">
      <pivotArea dataOnly="0" labelOnly="1" outline="0" fieldPosition="0">
        <references count="1">
          <reference field="4294967294" count="4">
            <x v="0"/>
            <x v="1"/>
            <x v="2"/>
            <x v="3"/>
          </reference>
        </references>
      </pivotArea>
    </format>
    <format dxfId="107">
      <pivotArea dataOnly="0" labelOnly="1" outline="0" fieldPosition="0">
        <references count="1">
          <reference field="4294967294" count="4">
            <x v="0"/>
            <x v="1"/>
            <x v="2"/>
            <x v="3"/>
          </reference>
        </references>
      </pivotArea>
    </format>
    <format dxfId="106">
      <pivotArea field="9" type="button" dataOnly="0" labelOnly="1" outline="0" axis="axisRow" fieldPosition="0"/>
    </format>
    <format dxfId="105">
      <pivotArea field="9" type="button" dataOnly="0" labelOnly="1" outline="0" axis="axisRow" fieldPosition="0"/>
    </format>
    <format dxfId="104">
      <pivotArea type="all" dataOnly="0" outline="0" fieldPosition="0"/>
    </format>
    <format dxfId="103">
      <pivotArea outline="0" collapsedLevelsAreSubtotals="1" fieldPosition="0"/>
    </format>
    <format dxfId="102">
      <pivotArea field="9" type="button" dataOnly="0" labelOnly="1" outline="0" axis="axisRow" fieldPosition="0"/>
    </format>
    <format dxfId="101">
      <pivotArea dataOnly="0" labelOnly="1" fieldPosition="0">
        <references count="1">
          <reference field="9" count="0"/>
        </references>
      </pivotArea>
    </format>
    <format dxfId="100">
      <pivotArea dataOnly="0" labelOnly="1" grandRow="1" outline="0" fieldPosition="0"/>
    </format>
    <format dxfId="99">
      <pivotArea dataOnly="0" labelOnly="1" outline="0" fieldPosition="0">
        <references count="1">
          <reference field="4294967294" count="4">
            <x v="0"/>
            <x v="1"/>
            <x v="2"/>
            <x v="3"/>
          </reference>
        </references>
      </pivotArea>
    </format>
    <format dxfId="98">
      <pivotArea dataOnly="0" labelOnly="1" outline="0" fieldPosition="0">
        <references count="1">
          <reference field="4294967294" count="1">
            <x v="4"/>
          </reference>
        </references>
      </pivotArea>
    </format>
    <format dxfId="97">
      <pivotArea dataOnly="0" labelOnly="1" outline="0" fieldPosition="0">
        <references count="1">
          <reference field="4294967294" count="1">
            <x v="4"/>
          </reference>
        </references>
      </pivotArea>
    </format>
    <format dxfId="96">
      <pivotArea dataOnly="0" labelOnly="1" outline="0" fieldPosition="0">
        <references count="1">
          <reference field="4294967294" count="1">
            <x v="4"/>
          </reference>
        </references>
      </pivotArea>
    </format>
    <format dxfId="95">
      <pivotArea outline="0" collapsedLevelsAreSubtotals="1" fieldPosition="0">
        <references count="1">
          <reference field="4294967294" count="1" selected="0">
            <x v="4"/>
          </reference>
        </references>
      </pivotArea>
    </format>
    <format dxfId="94">
      <pivotArea dataOnly="0" labelOnly="1" outline="0" fieldPosition="0">
        <references count="1">
          <reference field="4294967294" count="1">
            <x v="5"/>
          </reference>
        </references>
      </pivotArea>
    </format>
    <format dxfId="93">
      <pivotArea dataOnly="0" labelOnly="1" outline="0" fieldPosition="0">
        <references count="1">
          <reference field="4294967294" count="1">
            <x v="5"/>
          </reference>
        </references>
      </pivotArea>
    </format>
  </formats>
  <chartFormats count="7">
    <chartFormat chart="17" format="14" series="1">
      <pivotArea type="data" outline="0" fieldPosition="0">
        <references count="1">
          <reference field="4294967294" count="1" selected="0">
            <x v="5"/>
          </reference>
        </references>
      </pivotArea>
    </chartFormat>
    <chartFormat chart="17" format="15" series="1">
      <pivotArea type="data" outline="0" fieldPosition="0">
        <references count="1">
          <reference field="4294967294" count="1" selected="0">
            <x v="0"/>
          </reference>
        </references>
      </pivotArea>
    </chartFormat>
    <chartFormat chart="17" format="16" series="1">
      <pivotArea type="data" outline="0" fieldPosition="0">
        <references count="1">
          <reference field="4294967294" count="1" selected="0">
            <x v="1"/>
          </reference>
        </references>
      </pivotArea>
    </chartFormat>
    <chartFormat chart="17" format="17" series="1">
      <pivotArea type="data" outline="0" fieldPosition="0">
        <references count="1">
          <reference field="4294967294" count="1" selected="0">
            <x v="2"/>
          </reference>
        </references>
      </pivotArea>
    </chartFormat>
    <chartFormat chart="17" format="18">
      <pivotArea type="data" outline="0" fieldPosition="0">
        <references count="2">
          <reference field="4294967294" count="1" selected="0">
            <x v="2"/>
          </reference>
          <reference field="9" count="1" selected="0">
            <x v="4"/>
          </reference>
        </references>
      </pivotArea>
    </chartFormat>
    <chartFormat chart="17" format="19" series="1">
      <pivotArea type="data" outline="0" fieldPosition="0">
        <references count="1">
          <reference field="4294967294" count="1" selected="0">
            <x v="3"/>
          </reference>
        </references>
      </pivotArea>
    </chartFormat>
    <chartFormat chart="17" format="20"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7F5B4B6-6BE3-4421-AD1B-84CE79D7F4B5}" autoFormatId="16" applyNumberFormats="0" applyBorderFormats="0" applyFontFormats="0" applyPatternFormats="0" applyAlignmentFormats="0" applyWidthHeightFormats="0">
  <queryTableRefresh nextId="27" unboundColumnsLeft="1" unboundColumnsRight="7">
    <queryTableFields count="23">
      <queryTableField id="19" dataBound="0" tableColumnId="19"/>
      <queryTableField id="1" name="Order ID" tableColumnId="1"/>
      <queryTableField id="2" name="Order Date" tableColumnId="2"/>
      <queryTableField id="3" name="Delivery Date" tableColumnId="3"/>
      <queryTableField id="4" name="Cancel Date" tableColumnId="4"/>
      <queryTableField id="5" name="Customer ID" tableColumnId="5"/>
      <queryTableField id="6" name="Product ID" tableColumnId="6"/>
      <queryTableField id="15" dataBound="0" tableColumnId="15"/>
      <queryTableField id="25" dataBound="0" tableColumnId="23"/>
      <queryTableField id="7" name="Region" tableColumnId="7"/>
      <queryTableField id="8" name="Sale Price/Unit" tableColumnId="8"/>
      <queryTableField id="9" name="Quantity" tableColumnId="9"/>
      <queryTableField id="10" name="Total Amount" tableColumnId="10"/>
      <queryTableField id="11" name="Payment Method" tableColumnId="11"/>
      <queryTableField id="12" name="Delivery Status" tableColumnId="12"/>
      <queryTableField id="13" name="Fulfillment Partner" tableColumnId="13"/>
      <queryTableField id="14" dataBound="0" tableColumnId="14"/>
      <queryTableField id="17" dataBound="0" tableColumnId="17"/>
      <queryTableField id="18" dataBound="0" tableColumnId="18"/>
      <queryTableField id="22" dataBound="0" tableColumnId="21"/>
      <queryTableField id="21" dataBound="0" tableColumnId="20"/>
      <queryTableField id="23" dataBound="0" tableColumnId="16"/>
      <queryTableField id="24" dataBound="0" tableColumnId="2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7E6A7BCF-E494-46BD-99EF-79D0D3BBBB17}" autoFormatId="16" applyNumberFormats="0" applyBorderFormats="0" applyFontFormats="0" applyPatternFormats="0" applyAlignmentFormats="0" applyWidthHeightFormats="0">
  <queryTableRefresh nextId="21" unboundColumnsRight="1">
    <queryTableFields count="15">
      <queryTableField id="1" name="Order ID" tableColumnId="1"/>
      <queryTableField id="2" name="Order Date" tableColumnId="2"/>
      <queryTableField id="3" name="Delivery Date" tableColumnId="3"/>
      <queryTableField id="4" name="Cancel Date" tableColumnId="4"/>
      <queryTableField id="5" name="Customer ID" tableColumnId="5"/>
      <queryTableField id="18" dataBound="0" tableColumnId="19"/>
      <queryTableField id="6" name="Product ID" tableColumnId="6"/>
      <queryTableField id="7" name="Region" tableColumnId="7"/>
      <queryTableField id="8" name="Sale Price/Unit" tableColumnId="8"/>
      <queryTableField id="9" name="Quantity" tableColumnId="9"/>
      <queryTableField id="10" name="Total Amount" tableColumnId="10"/>
      <queryTableField id="11" name="Payment Method" tableColumnId="11"/>
      <queryTableField id="12" name="Delivery Status" tableColumnId="12"/>
      <queryTableField id="13" name="Fulfillment Partner" tableColumnId="13"/>
      <queryTableField id="20" dataBound="0"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356A395-F05B-47BB-A79E-4BE5E13B6261}" sourceName="Region">
  <pivotTables>
    <pivotTable tabId="9" name="Regionwise table"/>
    <pivotTable tabId="9" name="Salestable"/>
    <pivotTable tabId="9" name="order status table"/>
  </pivotTables>
  <data>
    <tabular pivotCacheId="1246546014">
      <items count="6">
        <i x="3" s="1"/>
        <i x="1" s="1"/>
        <i x="0" s="1"/>
        <i x="2" s="1"/>
        <i x="4" s="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3D221701-FA50-4244-BD8E-87D0FC70C625}" sourceName="Payment Method">
  <pivotTables>
    <pivotTable tabId="9" name="Regionwise table"/>
    <pivotTable tabId="9" name="Salestable"/>
  </pivotTables>
  <data>
    <tabular pivotCacheId="1246546014">
      <items count="6">
        <i x="3" s="1"/>
        <i x="0" s="1"/>
        <i x="1" s="1"/>
        <i x="4" s="1"/>
        <i x="2" s="1"/>
        <i x="5"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6BD52FE7-67A4-4C26-929B-290279F8D81C}" sourceName="Delivery Status">
  <pivotTables>
    <pivotTable tabId="9" name="order status table"/>
    <pivotTable tabId="9" name="Salestable"/>
    <pivotTable tabId="9" name="Regionwise table"/>
  </pivotTables>
  <data>
    <tabular pivotCacheId="1246546014">
      <items count="4">
        <i x="0" s="1"/>
        <i x="1" s="1"/>
        <i x="2" s="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1AD7B73D-12D2-43C8-92EA-C6ED24B06D83}" cache="Slicer_Region" caption="Region" style="SlicerStyleLight6" rowHeight="247650"/>
  <slicer name="Payment Method 1" xr10:uid="{E0FA06B7-3CCD-4E29-80A0-3B07C5EBEFD7}" cache="Slicer_Payment_Method" caption="Payment Method" columnCount="2" style="SlicerStyleLight6" rowHeight="360000"/>
  <slicer name="Delivery Status" xr10:uid="{4F6F0380-1B6C-4CBD-8DDC-F1C8D88B66BB}" cache="Slicer_Delivery_Status" caption="Delivery Status" style="SlicerStyleLight6" rowHeight="36000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F6AD016-0B26-4B9E-95B7-2B8B091C3A8F}" name="Product_table" displayName="Product_table" ref="A1:E24" totalsRowCount="1" headerRowDxfId="230" headerRowBorderDxfId="229" tableBorderDxfId="228" totalsRowBorderDxfId="227" headerRowCellStyle="Normal 2">
  <autoFilter ref="A1:E23" xr:uid="{CF6AD016-0B26-4B9E-95B7-2B8B091C3A8F}"/>
  <tableColumns count="5">
    <tableColumn id="1" xr3:uid="{A9B5991B-3146-4898-A31D-FDE1D5D6A821}" name="Product ID" totalsRowLabel="Total" dataDxfId="226" totalsRowDxfId="225" dataCellStyle="Normal 2" totalsRowCellStyle="Normal 2"/>
    <tableColumn id="2" xr3:uid="{7E31DDC2-3633-4EEB-99C0-5C8485402352}" name="Product Name" totalsRowFunction="count" dataDxfId="224" totalsRowDxfId="223" dataCellStyle="Normal 2"/>
    <tableColumn id="3" xr3:uid="{7984C276-B037-4A2D-B794-E464519D3311}" name="Category" dataDxfId="222" totalsRowDxfId="221" dataCellStyle="Normal 2" totalsRowCellStyle="Normal 2"/>
    <tableColumn id="4" xr3:uid="{102734BD-9801-4017-85BE-575911DA6E4B}" name="Cost Price" dataDxfId="220" totalsRowDxfId="219" dataCellStyle="Normal 2" totalsRowCellStyle="Normal 2"/>
    <tableColumn id="5" xr3:uid="{C50D129B-5EED-4DB9-9057-A9D451329604}" name="Description" totalsRowFunction="count" dataDxfId="218" totalsRowDxfId="217" dataCellStyle="Normal 2" totalsRowCellStyle="Normal 2"/>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9915A30-C43D-4E2B-8013-322CB3D72F08}" name="customerdata" displayName="customerdata" ref="A1:E50" totalsRowShown="0" headerRowDxfId="216" dataDxfId="214" headerRowBorderDxfId="215" tableBorderDxfId="213" totalsRowBorderDxfId="212">
  <autoFilter ref="A1:E50" xr:uid="{39915A30-C43D-4E2B-8013-322CB3D72F08}"/>
  <tableColumns count="5">
    <tableColumn id="1" xr3:uid="{D4962764-C6C8-4281-B074-8CB4821769AB}" name="Customer ID" dataDxfId="211"/>
    <tableColumn id="2" xr3:uid="{7057011F-4E24-4278-AEAB-241B8545DD60}" name="Customer Name" dataDxfId="210"/>
    <tableColumn id="3" xr3:uid="{2746241E-32EA-49DA-847E-8B4E9BBA5591}" name="Customer Type" dataDxfId="209"/>
    <tableColumn id="4" xr3:uid="{804CDBA5-7E65-4622-B196-ED60A420F6F7}" name="City" dataDxfId="208"/>
    <tableColumn id="5" xr3:uid="{37802BA9-E13C-439F-8E67-8E2F6F9357E9}" name="State" dataDxfId="207"/>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142D7E-64AB-456E-BE8E-CD40CA82B440}" name="AmazonSales" displayName="AmazonSales" ref="A1:W102" tableType="queryTable" totalsRowCount="1" headerRowDxfId="206" totalsRowDxfId="205">
  <autoFilter ref="A1:W101" xr:uid="{FE5A14B3-4EE5-498F-AF6A-00CB3C114F81}"/>
  <tableColumns count="23">
    <tableColumn id="19" xr3:uid="{5A206EA5-8BCE-4DD8-86B2-62135CA8ECEF}" uniqueName="19" name="Order count" totalsRowLabel="Total" queryTableFieldId="19" dataDxfId="204" totalsRowDxfId="203"/>
    <tableColumn id="1" xr3:uid="{7985B551-4E96-4E5F-880C-3A847D9AE3BD}" uniqueName="1" name="Order ID" queryTableFieldId="1" dataDxfId="202" totalsRowDxfId="201"/>
    <tableColumn id="2" xr3:uid="{4C36A014-2464-498C-82F8-BD24B646F574}" uniqueName="2" name="Order Date" queryTableFieldId="2" dataDxfId="200" totalsRowDxfId="199"/>
    <tableColumn id="3" xr3:uid="{E159AA07-C541-4BDE-91D3-9A0A7BD998D2}" uniqueName="3" name="Delivery Date" queryTableFieldId="3" dataDxfId="198" totalsRowDxfId="197"/>
    <tableColumn id="4" xr3:uid="{300CD457-D270-4362-8D09-F88AD0E0D31D}" uniqueName="4" name="Cancel Date" queryTableFieldId="4" dataDxfId="196" totalsRowDxfId="195"/>
    <tableColumn id="5" xr3:uid="{BB4B1A69-B438-4EB0-8899-1D7DE2039917}" uniqueName="5" name="Customer ID" queryTableFieldId="5" dataDxfId="194" totalsRowDxfId="193"/>
    <tableColumn id="6" xr3:uid="{33D048F2-6966-4558-AE54-828C5298292D}" uniqueName="6" name="Product ID" queryTableFieldId="6" dataDxfId="192" totalsRowDxfId="191"/>
    <tableColumn id="15" xr3:uid="{246455DF-F53A-410F-A205-5069E69117D2}" uniqueName="15" name="Product Category" queryTableFieldId="15" dataDxfId="190" totalsRowDxfId="189">
      <calculatedColumnFormula>_xlfn.XLOOKUP(AmazonSales[[#This Row],[Product ID]],Product_table[Product ID],Product_table[Category])</calculatedColumnFormula>
    </tableColumn>
    <tableColumn id="23" xr3:uid="{6FCA4C75-7FA2-4A91-A932-491D6D21067B}" uniqueName="23" name="Product Name" queryTableFieldId="25" dataDxfId="188" totalsRowDxfId="187">
      <calculatedColumnFormula>_xlfn.XLOOKUP(AmazonSales[[#This Row],[Product ID]],Product_table[Product ID],Product_table[Product Name])</calculatedColumnFormula>
    </tableColumn>
    <tableColumn id="7" xr3:uid="{F0552777-9E44-4307-AA10-F8D99F91218F}" uniqueName="7" name="Region" queryTableFieldId="7" dataDxfId="186" totalsRowDxfId="185"/>
    <tableColumn id="8" xr3:uid="{4BD1AAB4-F42B-46DC-9E5A-584ACD92E8F9}" uniqueName="8" name="Sale Price/Unit" queryTableFieldId="8" totalsRowDxfId="184"/>
    <tableColumn id="9" xr3:uid="{54A22440-C790-4A84-9C75-94667C6B3B50}" uniqueName="9" name="Quantity" queryTableFieldId="9" totalsRowDxfId="183"/>
    <tableColumn id="10" xr3:uid="{08D00856-DD96-47EE-8061-7F58B5E25F70}" uniqueName="10" name="Total Amount" queryTableFieldId="10" totalsRowDxfId="182"/>
    <tableColumn id="11" xr3:uid="{1DDA7CA5-225E-4D77-B4D4-63CF9B5003C7}" uniqueName="11" name="Payment Method" queryTableFieldId="11" dataDxfId="181" totalsRowDxfId="180"/>
    <tableColumn id="12" xr3:uid="{DCA151A7-941B-45FE-A71B-5D548CA7B981}" uniqueName="12" name="Delivery Status" queryTableFieldId="12" dataDxfId="179" totalsRowDxfId="178"/>
    <tableColumn id="13" xr3:uid="{DCA7934A-D294-4F63-9DFC-498624645FC8}" uniqueName="13" name="Fulfillment Partner" queryTableFieldId="13" dataDxfId="177" totalsRowDxfId="176"/>
    <tableColumn id="14" xr3:uid="{7E7E2D5D-4682-4265-871A-0A3089399888}" uniqueName="14" name="Order Status" queryTableFieldId="14" dataDxfId="175" totalsRowDxfId="174">
      <calculatedColumnFormula>IF(AND(E2&lt;&gt;"", O2="Cancelled"), "Cancelled", "Active")</calculatedColumnFormula>
    </tableColumn>
    <tableColumn id="17" xr3:uid="{5C744866-EA99-404D-AA0E-00E9F9F3544E}" uniqueName="17" name="Delivery Time" queryTableFieldId="17" dataDxfId="173" totalsRowDxfId="172"/>
    <tableColumn id="18" xr3:uid="{4B71CA5E-A028-4620-966F-C271E9BF3B62}" uniqueName="18" name="Cancelled" queryTableFieldId="18" dataDxfId="171" totalsRowDxfId="170">
      <calculatedColumnFormula>IF(AmazonSales[[#This Row],[Order Status]]="Cancelled",1,0)</calculatedColumnFormula>
    </tableColumn>
    <tableColumn id="21" xr3:uid="{AE17EAA6-64BE-40B0-8735-6D39DC765AE3}" uniqueName="21" name="Delivered" queryTableFieldId="22" dataDxfId="169" totalsRowDxfId="168">
      <calculatedColumnFormula>IF(AmazonSales[[#This Row],[Delivery Status]]="Delivered",1,0)</calculatedColumnFormula>
    </tableColumn>
    <tableColumn id="20" xr3:uid="{E59521ED-8C42-469C-9F66-C05974783B84}" uniqueName="20" name="Delivered sales Amount" queryTableFieldId="21" dataDxfId="167" totalsRowDxfId="166">
      <calculatedColumnFormula>IF(AmazonSales[[#This Row],[Delivery Status]]="Delivered",AmazonSales[[#This Row],[Total Amount]],0)</calculatedColumnFormula>
    </tableColumn>
    <tableColumn id="16" xr3:uid="{F72351D1-6E3D-4DBA-9B79-2C5D0A596F44}" uniqueName="16" name="Delivery performance" totalsRowFunction="count" queryTableFieldId="23" dataDxfId="165" totalsRowDxfId="164">
      <calculatedColumnFormula array="1">_xlfn.IFS(AND(AmazonSales[[#This Row],[Delivery Time]]=""),"",AND(AmazonSales[[#This Row],[Delivery Time]]&lt;=2),"Fast",AND(AmazonSales[[#This Row],[Delivery Time]]&gt;2),"Slow")</calculatedColumnFormula>
    </tableColumn>
    <tableColumn id="22" xr3:uid="{24869585-1BA0-4C46-8844-504AE111E8B2}" uniqueName="22" name="Fast delivery" totalsRowFunction="sum" queryTableFieldId="24" dataDxfId="163" totalsRowDxfId="162">
      <calculatedColumnFormula>IF(AmazonSales[[#This Row],[Delivery performance]]="Fast",1,0)</calculatedColumnFormula>
    </tableColumn>
  </tableColumns>
  <tableStyleInfo name="TableStyleMedium1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73B4B4E-C61F-4029-8B76-8283944DB48B}" name="AmazonSales5" displayName="AmazonSales5" ref="A1:O102" tableType="queryTable" totalsRowCount="1">
  <autoFilter ref="A1:O101" xr:uid="{FE5A14B3-4EE5-498F-AF6A-00CB3C114F81}"/>
  <tableColumns count="15">
    <tableColumn id="1" xr3:uid="{CDC4D97F-704C-4EB2-B16D-CD89F56DD8D8}" uniqueName="1" name="Order ID" totalsRowLabel="Total" queryTableFieldId="1" dataDxfId="125"/>
    <tableColumn id="2" xr3:uid="{2766BB46-ACB5-4328-9124-4B9A2807B1B5}" uniqueName="2" name="Order Date" queryTableFieldId="2" dataDxfId="124"/>
    <tableColumn id="3" xr3:uid="{9F4B9A38-DAA5-47ED-A4A1-D9A76147C7FC}" uniqueName="3" name="Delivery Date" queryTableFieldId="3" dataDxfId="123"/>
    <tableColumn id="4" xr3:uid="{E18CCECE-487A-4984-92C7-4FA92D3A5910}" uniqueName="4" name="Cancel Date" queryTableFieldId="4" dataDxfId="122"/>
    <tableColumn id="5" xr3:uid="{BDBEC1F8-59A2-4B7B-A362-9C488D062110}" uniqueName="5" name="Customer ID" queryTableFieldId="5" dataDxfId="121"/>
    <tableColumn id="19" xr3:uid="{9BCB4885-E187-4FF5-963D-0EFFBD907509}" uniqueName="19" name="Customer Name" queryTableFieldId="18" dataDxfId="120">
      <calculatedColumnFormula>_xlfn.XLOOKUP(AmazonSales5[[#This Row],[Customer ID]],customerdata[Customer ID],customerdata[Customer Name],"Not Found")</calculatedColumnFormula>
    </tableColumn>
    <tableColumn id="6" xr3:uid="{39C50DDE-7CCD-44B1-8DAD-9C070C759692}" uniqueName="6" name="Product ID" queryTableFieldId="6" dataDxfId="119"/>
    <tableColumn id="7" xr3:uid="{4B5ACBB1-A27E-4800-8CEF-158947B17C22}" uniqueName="7" name="Region" queryTableFieldId="7" dataDxfId="118"/>
    <tableColumn id="8" xr3:uid="{B2C81C64-5E86-4A0E-8AA6-225FD6503F24}" uniqueName="8" name="Sale Price/Unit" queryTableFieldId="8"/>
    <tableColumn id="9" xr3:uid="{BA5F6FF7-F793-4A53-860D-6DD3AAE8CB71}" uniqueName="9" name="Quantity" queryTableFieldId="9"/>
    <tableColumn id="10" xr3:uid="{868C4150-6BC7-4DA2-ADCC-369D78C2F197}" uniqueName="10" name="Total Amount" queryTableFieldId="10"/>
    <tableColumn id="11" xr3:uid="{1E9F2B73-8B8E-495F-B3FF-7F894D6A216F}" uniqueName="11" name="Payment Method" queryTableFieldId="11" dataDxfId="117"/>
    <tableColumn id="12" xr3:uid="{B71514EA-451F-42D2-B0AE-CD16F4B52B44}" uniqueName="12" name="Delivery Status" queryTableFieldId="12" dataDxfId="116"/>
    <tableColumn id="13" xr3:uid="{A4DB6B3E-501B-47EC-9BEE-F98A9EF269DC}" uniqueName="13" name="Fulfillment Partner" queryTableFieldId="13" dataDxfId="115"/>
    <tableColumn id="20" xr3:uid="{0807441E-CCBC-40D0-8796-7B3928C2C244}" uniqueName="20" name="Delivery Performance" totalsRowFunction="count" queryTableFieldId="20" dataDxfId="114">
      <calculatedColumnFormula>IFERROR(IF(AmazonSales5[[#This Row],[Delivery Date]]="", "", IF(AmazonSales5[[#This Row],[Delivery Date]]-AmazonSales5[[#This Row],[Order Date]]&lt;=2,"Fast","Slow")),"")</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C5B4102C-301E-4A46-8C94-C6A647AC0F8E}" sourceName="Order Date">
  <pivotTables>
    <pivotTable tabId="9" name="Regionwise table"/>
    <pivotTable tabId="9" name="order status table"/>
    <pivotTable tabId="9" name="Salestable"/>
  </pivotTables>
  <state minimalRefreshVersion="6" lastRefreshVersion="6" pivotCacheId="1246546014"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389B0280-8708-4E3A-8B61-B0E72D59297A}" cache="NativeTimeline_Order_Date" caption="Order Date" level="2" selectionLevel="2" scrollPosition="2023-01-01T00:00:00" style="TimeSlicerStyleLight6"/>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rinterSettings" Target="../printerSettings/printerSettings2.bin"/><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C8709-C2AE-46CA-ADE1-1C10A099C2F1}">
  <dimension ref="A1:M1000"/>
  <sheetViews>
    <sheetView workbookViewId="0">
      <pane ySplit="1" topLeftCell="A2" activePane="bottomLeft" state="frozen"/>
      <selection activeCell="D21" sqref="D21"/>
      <selection pane="bottomLeft" activeCell="B3" sqref="B3"/>
    </sheetView>
  </sheetViews>
  <sheetFormatPr defaultColWidth="14.44140625" defaultRowHeight="15" customHeight="1" x14ac:dyDescent="0.3"/>
  <cols>
    <col min="1" max="1" width="11.6640625" style="8" customWidth="1"/>
    <col min="2" max="2" width="12.6640625" style="8" customWidth="1"/>
    <col min="3" max="3" width="14.88671875" style="8" customWidth="1"/>
    <col min="4" max="4" width="13.33203125" style="8" customWidth="1"/>
    <col min="5" max="5" width="15" style="8" customWidth="1"/>
    <col min="6" max="6" width="13.6640625" style="8" customWidth="1"/>
    <col min="7" max="7" width="10.33203125" style="8" customWidth="1"/>
    <col min="8" max="8" width="17.5546875" style="8" customWidth="1"/>
    <col min="9" max="9" width="12.109375" style="8" customWidth="1"/>
    <col min="10" max="10" width="12.88671875" style="8" customWidth="1"/>
    <col min="11" max="11" width="19.88671875" style="8" customWidth="1"/>
    <col min="12" max="12" width="17.6640625" style="8" customWidth="1"/>
    <col min="13" max="13" width="21" style="8" customWidth="1"/>
    <col min="14" max="26" width="8.6640625" style="8" customWidth="1"/>
    <col min="27" max="16384" width="14.44140625" style="8"/>
  </cols>
  <sheetData>
    <row r="1" spans="1:13" ht="18" customHeight="1" x14ac:dyDescent="0.3">
      <c r="A1" s="4" t="s">
        <v>0</v>
      </c>
      <c r="B1" s="5" t="s">
        <v>1</v>
      </c>
      <c r="C1" s="5" t="s">
        <v>2</v>
      </c>
      <c r="D1" s="5" t="s">
        <v>3</v>
      </c>
      <c r="E1" s="4" t="s">
        <v>4</v>
      </c>
      <c r="F1" s="4" t="s">
        <v>5</v>
      </c>
      <c r="G1" s="4" t="s">
        <v>6</v>
      </c>
      <c r="H1" s="6" t="s">
        <v>7</v>
      </c>
      <c r="I1" s="6" t="s">
        <v>8</v>
      </c>
      <c r="J1" s="7" t="s">
        <v>9</v>
      </c>
      <c r="K1" s="4" t="s">
        <v>10</v>
      </c>
      <c r="L1" s="4" t="s">
        <v>11</v>
      </c>
      <c r="M1" s="4" t="s">
        <v>12</v>
      </c>
    </row>
    <row r="2" spans="1:13" ht="18" customHeight="1" x14ac:dyDescent="0.3">
      <c r="A2" s="9" t="s">
        <v>13</v>
      </c>
      <c r="B2" s="10" t="s">
        <v>197</v>
      </c>
      <c r="C2" s="10" t="s">
        <v>198</v>
      </c>
      <c r="D2" s="10" t="s">
        <v>199</v>
      </c>
      <c r="E2" s="9" t="s">
        <v>14</v>
      </c>
      <c r="F2" s="9" t="s">
        <v>15</v>
      </c>
      <c r="G2" s="9" t="s">
        <v>16</v>
      </c>
      <c r="H2" s="11">
        <v>44</v>
      </c>
      <c r="I2" s="11">
        <v>1</v>
      </c>
      <c r="J2" s="12">
        <v>44</v>
      </c>
      <c r="K2" s="9" t="s">
        <v>17</v>
      </c>
      <c r="L2" s="9" t="s">
        <v>18</v>
      </c>
      <c r="M2" s="9" t="s">
        <v>19</v>
      </c>
    </row>
    <row r="3" spans="1:13" ht="18" customHeight="1" x14ac:dyDescent="0.3">
      <c r="A3" s="9" t="s">
        <v>20</v>
      </c>
      <c r="B3" s="10" t="s">
        <v>200</v>
      </c>
      <c r="C3" s="10" t="s">
        <v>201</v>
      </c>
      <c r="D3" s="10" t="s">
        <v>198</v>
      </c>
      <c r="E3" s="9" t="s">
        <v>21</v>
      </c>
      <c r="F3" s="9" t="s">
        <v>22</v>
      </c>
      <c r="G3" s="9" t="s">
        <v>23</v>
      </c>
      <c r="H3" s="11">
        <v>96</v>
      </c>
      <c r="I3" s="11">
        <v>4</v>
      </c>
      <c r="J3" s="12">
        <v>384</v>
      </c>
      <c r="K3" s="9" t="s">
        <v>24</v>
      </c>
      <c r="L3" s="9" t="s">
        <v>25</v>
      </c>
      <c r="M3" s="9" t="s">
        <v>19</v>
      </c>
    </row>
    <row r="4" spans="1:13" ht="18" customHeight="1" x14ac:dyDescent="0.3">
      <c r="A4" s="9" t="s">
        <v>26</v>
      </c>
      <c r="B4" s="10" t="s">
        <v>202</v>
      </c>
      <c r="C4" s="10" t="s">
        <v>198</v>
      </c>
      <c r="D4" s="10" t="s">
        <v>198</v>
      </c>
      <c r="E4" s="9" t="s">
        <v>14</v>
      </c>
      <c r="F4" s="9" t="s">
        <v>27</v>
      </c>
      <c r="G4" s="9" t="s">
        <v>28</v>
      </c>
      <c r="H4" s="11">
        <v>194</v>
      </c>
      <c r="I4" s="11">
        <v>4</v>
      </c>
      <c r="J4" s="12">
        <v>776</v>
      </c>
      <c r="K4" s="9" t="s">
        <v>24</v>
      </c>
      <c r="L4" s="9" t="s">
        <v>29</v>
      </c>
      <c r="M4" s="9" t="s">
        <v>30</v>
      </c>
    </row>
    <row r="5" spans="1:13" ht="18" customHeight="1" x14ac:dyDescent="0.3">
      <c r="A5" s="9" t="s">
        <v>31</v>
      </c>
      <c r="B5" s="10" t="s">
        <v>203</v>
      </c>
      <c r="C5" s="10" t="s">
        <v>198</v>
      </c>
      <c r="D5" s="10" t="s">
        <v>204</v>
      </c>
      <c r="E5" s="9" t="s">
        <v>32</v>
      </c>
      <c r="F5" s="9" t="s">
        <v>27</v>
      </c>
      <c r="G5" s="9" t="s">
        <v>16</v>
      </c>
      <c r="H5" s="11">
        <v>196</v>
      </c>
      <c r="I5" s="11">
        <v>3</v>
      </c>
      <c r="J5" s="12">
        <v>588</v>
      </c>
      <c r="K5" s="9" t="s">
        <v>33</v>
      </c>
      <c r="L5" s="9" t="s">
        <v>18</v>
      </c>
      <c r="M5" s="9" t="s">
        <v>34</v>
      </c>
    </row>
    <row r="6" spans="1:13" ht="18" customHeight="1" x14ac:dyDescent="0.3">
      <c r="A6" s="9" t="s">
        <v>35</v>
      </c>
      <c r="B6" s="10" t="s">
        <v>205</v>
      </c>
      <c r="C6" s="10" t="s">
        <v>206</v>
      </c>
      <c r="D6" s="10" t="s">
        <v>198</v>
      </c>
      <c r="E6" s="9" t="s">
        <v>36</v>
      </c>
      <c r="F6" s="9" t="s">
        <v>37</v>
      </c>
      <c r="G6" s="9" t="s">
        <v>16</v>
      </c>
      <c r="H6" s="11">
        <v>59</v>
      </c>
      <c r="I6" s="11">
        <v>1</v>
      </c>
      <c r="J6" s="12">
        <v>59</v>
      </c>
      <c r="K6" s="9" t="s">
        <v>33</v>
      </c>
      <c r="L6" s="9" t="s">
        <v>25</v>
      </c>
      <c r="M6" s="9" t="s">
        <v>38</v>
      </c>
    </row>
    <row r="7" spans="1:13" ht="18" customHeight="1" x14ac:dyDescent="0.3">
      <c r="A7" s="9" t="s">
        <v>39</v>
      </c>
      <c r="B7" s="10" t="s">
        <v>207</v>
      </c>
      <c r="C7" s="10" t="s">
        <v>198</v>
      </c>
      <c r="D7" s="10" t="s">
        <v>208</v>
      </c>
      <c r="E7" s="9" t="s">
        <v>40</v>
      </c>
      <c r="F7" s="9" t="s">
        <v>37</v>
      </c>
      <c r="G7" s="9" t="s">
        <v>16</v>
      </c>
      <c r="H7" s="11">
        <v>58</v>
      </c>
      <c r="I7" s="11">
        <v>4</v>
      </c>
      <c r="J7" s="12">
        <v>232</v>
      </c>
      <c r="K7" s="9" t="s">
        <v>41</v>
      </c>
      <c r="L7" s="9" t="s">
        <v>18</v>
      </c>
      <c r="M7" s="9" t="s">
        <v>19</v>
      </c>
    </row>
    <row r="8" spans="1:13" ht="18" customHeight="1" x14ac:dyDescent="0.3">
      <c r="A8" s="9" t="s">
        <v>42</v>
      </c>
      <c r="B8" s="10" t="s">
        <v>209</v>
      </c>
      <c r="C8" s="10" t="s">
        <v>198</v>
      </c>
      <c r="D8" s="10" t="s">
        <v>210</v>
      </c>
      <c r="E8" s="9" t="s">
        <v>43</v>
      </c>
      <c r="F8" s="9" t="s">
        <v>44</v>
      </c>
      <c r="G8" s="9" t="s">
        <v>45</v>
      </c>
      <c r="H8" s="11">
        <v>105</v>
      </c>
      <c r="I8" s="11">
        <v>3</v>
      </c>
      <c r="J8" s="12">
        <v>315</v>
      </c>
      <c r="K8" s="9" t="s">
        <v>46</v>
      </c>
      <c r="L8" s="9" t="s">
        <v>18</v>
      </c>
      <c r="M8" s="9" t="s">
        <v>19</v>
      </c>
    </row>
    <row r="9" spans="1:13" ht="18" customHeight="1" x14ac:dyDescent="0.3">
      <c r="A9" s="9" t="s">
        <v>47</v>
      </c>
      <c r="B9" s="10" t="s">
        <v>211</v>
      </c>
      <c r="C9" s="10" t="s">
        <v>198</v>
      </c>
      <c r="D9" s="10" t="s">
        <v>212</v>
      </c>
      <c r="E9" s="9" t="s">
        <v>48</v>
      </c>
      <c r="F9" s="9" t="s">
        <v>49</v>
      </c>
      <c r="G9" s="9" t="s">
        <v>50</v>
      </c>
      <c r="H9" s="11">
        <v>37</v>
      </c>
      <c r="I9" s="11">
        <v>5</v>
      </c>
      <c r="J9" s="12">
        <v>185</v>
      </c>
      <c r="K9" s="9" t="s">
        <v>33</v>
      </c>
      <c r="L9" s="9" t="s">
        <v>18</v>
      </c>
      <c r="M9" s="9" t="s">
        <v>19</v>
      </c>
    </row>
    <row r="10" spans="1:13" ht="18" customHeight="1" x14ac:dyDescent="0.3">
      <c r="A10" s="9" t="s">
        <v>51</v>
      </c>
      <c r="B10" s="10" t="s">
        <v>213</v>
      </c>
      <c r="C10" s="10" t="s">
        <v>198</v>
      </c>
      <c r="D10" s="10" t="s">
        <v>198</v>
      </c>
      <c r="E10" s="9" t="s">
        <v>52</v>
      </c>
      <c r="F10" s="9" t="s">
        <v>53</v>
      </c>
      <c r="G10" s="9" t="s">
        <v>45</v>
      </c>
      <c r="H10" s="11">
        <v>44</v>
      </c>
      <c r="I10" s="11">
        <v>2</v>
      </c>
      <c r="J10" s="12">
        <v>88</v>
      </c>
      <c r="K10" s="9" t="s">
        <v>24</v>
      </c>
      <c r="L10" s="9" t="s">
        <v>29</v>
      </c>
      <c r="M10" s="9" t="s">
        <v>38</v>
      </c>
    </row>
    <row r="11" spans="1:13" ht="18" customHeight="1" x14ac:dyDescent="0.3">
      <c r="A11" s="9" t="s">
        <v>54</v>
      </c>
      <c r="B11" s="10" t="s">
        <v>214</v>
      </c>
      <c r="C11" s="10" t="s">
        <v>198</v>
      </c>
      <c r="D11" s="10" t="s">
        <v>198</v>
      </c>
      <c r="E11" s="9" t="s">
        <v>48</v>
      </c>
      <c r="F11" s="9" t="s">
        <v>55</v>
      </c>
      <c r="G11" s="9" t="s">
        <v>28</v>
      </c>
      <c r="H11" s="11">
        <v>141</v>
      </c>
      <c r="I11" s="11">
        <v>4</v>
      </c>
      <c r="J11" s="12">
        <v>564</v>
      </c>
      <c r="K11" s="9" t="s">
        <v>46</v>
      </c>
      <c r="L11" s="9" t="s">
        <v>29</v>
      </c>
      <c r="M11" s="9" t="s">
        <v>19</v>
      </c>
    </row>
    <row r="12" spans="1:13" ht="18" customHeight="1" x14ac:dyDescent="0.3">
      <c r="A12" s="9" t="s">
        <v>56</v>
      </c>
      <c r="B12" s="10" t="s">
        <v>215</v>
      </c>
      <c r="C12" s="10" t="s">
        <v>198</v>
      </c>
      <c r="D12" s="10" t="s">
        <v>216</v>
      </c>
      <c r="E12" s="9" t="s">
        <v>57</v>
      </c>
      <c r="F12" s="9" t="s">
        <v>58</v>
      </c>
      <c r="G12" s="9" t="s">
        <v>28</v>
      </c>
      <c r="H12" s="11">
        <v>249</v>
      </c>
      <c r="I12" s="11">
        <v>1</v>
      </c>
      <c r="J12" s="12">
        <v>249</v>
      </c>
      <c r="K12" s="9" t="s">
        <v>41</v>
      </c>
      <c r="L12" s="9" t="s">
        <v>18</v>
      </c>
      <c r="M12" s="9" t="s">
        <v>30</v>
      </c>
    </row>
    <row r="13" spans="1:13" ht="18" customHeight="1" x14ac:dyDescent="0.3">
      <c r="A13" s="9" t="s">
        <v>59</v>
      </c>
      <c r="B13" s="10" t="s">
        <v>217</v>
      </c>
      <c r="C13" s="10" t="s">
        <v>198</v>
      </c>
      <c r="D13" s="10" t="s">
        <v>198</v>
      </c>
      <c r="E13" s="9" t="s">
        <v>60</v>
      </c>
      <c r="F13" s="9" t="s">
        <v>58</v>
      </c>
      <c r="G13" s="9" t="s">
        <v>45</v>
      </c>
      <c r="H13" s="11">
        <v>247</v>
      </c>
      <c r="I13" s="11">
        <v>3</v>
      </c>
      <c r="J13" s="12">
        <v>741</v>
      </c>
      <c r="K13" s="9" t="s">
        <v>41</v>
      </c>
      <c r="L13" s="9" t="s">
        <v>29</v>
      </c>
      <c r="M13" s="9" t="s">
        <v>61</v>
      </c>
    </row>
    <row r="14" spans="1:13" ht="18" customHeight="1" x14ac:dyDescent="0.3">
      <c r="A14" s="9" t="s">
        <v>62</v>
      </c>
      <c r="B14" s="10" t="s">
        <v>218</v>
      </c>
      <c r="C14" s="10" t="s">
        <v>198</v>
      </c>
      <c r="D14" s="10" t="s">
        <v>219</v>
      </c>
      <c r="E14" s="9" t="s">
        <v>63</v>
      </c>
      <c r="F14" s="9" t="s">
        <v>64</v>
      </c>
      <c r="G14" s="9" t="s">
        <v>45</v>
      </c>
      <c r="H14" s="11">
        <v>96</v>
      </c>
      <c r="I14" s="11">
        <v>1</v>
      </c>
      <c r="J14" s="12">
        <v>96</v>
      </c>
      <c r="K14" s="9" t="s">
        <v>17</v>
      </c>
      <c r="L14" s="9" t="s">
        <v>18</v>
      </c>
      <c r="M14" s="9" t="s">
        <v>38</v>
      </c>
    </row>
    <row r="15" spans="1:13" ht="18" customHeight="1" x14ac:dyDescent="0.3">
      <c r="A15" s="9" t="s">
        <v>65</v>
      </c>
      <c r="B15" s="10" t="s">
        <v>201</v>
      </c>
      <c r="C15" s="10" t="s">
        <v>198</v>
      </c>
      <c r="D15" s="10" t="s">
        <v>218</v>
      </c>
      <c r="E15" s="9" t="s">
        <v>66</v>
      </c>
      <c r="F15" s="9" t="s">
        <v>67</v>
      </c>
      <c r="G15" s="9" t="s">
        <v>50</v>
      </c>
      <c r="H15" s="11">
        <v>74</v>
      </c>
      <c r="I15" s="11">
        <v>5</v>
      </c>
      <c r="J15" s="12">
        <v>370</v>
      </c>
      <c r="K15" s="9" t="s">
        <v>17</v>
      </c>
      <c r="L15" s="9" t="s">
        <v>18</v>
      </c>
      <c r="M15" s="9" t="s">
        <v>38</v>
      </c>
    </row>
    <row r="16" spans="1:13" ht="18" customHeight="1" x14ac:dyDescent="0.3">
      <c r="A16" s="9" t="s">
        <v>68</v>
      </c>
      <c r="B16" s="10" t="s">
        <v>220</v>
      </c>
      <c r="C16" s="10" t="s">
        <v>198</v>
      </c>
      <c r="D16" s="10" t="s">
        <v>221</v>
      </c>
      <c r="E16" s="9" t="s">
        <v>66</v>
      </c>
      <c r="F16" s="9" t="s">
        <v>69</v>
      </c>
      <c r="G16" s="9" t="s">
        <v>28</v>
      </c>
      <c r="H16" s="11">
        <v>27</v>
      </c>
      <c r="I16" s="11">
        <v>1</v>
      </c>
      <c r="J16" s="12">
        <v>27</v>
      </c>
      <c r="K16" s="9" t="s">
        <v>24</v>
      </c>
      <c r="L16" s="9" t="s">
        <v>18</v>
      </c>
      <c r="M16" s="9" t="s">
        <v>38</v>
      </c>
    </row>
    <row r="17" spans="1:13" ht="18" customHeight="1" x14ac:dyDescent="0.3">
      <c r="A17" s="9" t="s">
        <v>70</v>
      </c>
      <c r="B17" s="10" t="s">
        <v>222</v>
      </c>
      <c r="C17" s="10" t="s">
        <v>198</v>
      </c>
      <c r="D17" s="10" t="s">
        <v>198</v>
      </c>
      <c r="E17" s="9" t="s">
        <v>71</v>
      </c>
      <c r="F17" s="9" t="s">
        <v>69</v>
      </c>
      <c r="G17" s="9" t="s">
        <v>28</v>
      </c>
      <c r="H17" s="11">
        <v>27</v>
      </c>
      <c r="I17" s="11">
        <v>3</v>
      </c>
      <c r="J17" s="12">
        <v>81</v>
      </c>
      <c r="K17" s="9" t="s">
        <v>46</v>
      </c>
      <c r="L17" s="9" t="s">
        <v>29</v>
      </c>
      <c r="M17" s="9" t="s">
        <v>38</v>
      </c>
    </row>
    <row r="18" spans="1:13" ht="18" customHeight="1" x14ac:dyDescent="0.3">
      <c r="A18" s="9" t="s">
        <v>72</v>
      </c>
      <c r="B18" s="10" t="s">
        <v>223</v>
      </c>
      <c r="C18" s="10" t="s">
        <v>224</v>
      </c>
      <c r="D18" s="10" t="s">
        <v>198</v>
      </c>
      <c r="E18" s="9" t="s">
        <v>60</v>
      </c>
      <c r="F18" s="9" t="s">
        <v>73</v>
      </c>
      <c r="G18" s="9" t="s">
        <v>23</v>
      </c>
      <c r="H18" s="11">
        <v>21</v>
      </c>
      <c r="I18" s="11">
        <v>3</v>
      </c>
      <c r="J18" s="12">
        <v>63</v>
      </c>
      <c r="K18" s="9" t="s">
        <v>24</v>
      </c>
      <c r="L18" s="9" t="s">
        <v>25</v>
      </c>
      <c r="M18" s="9" t="s">
        <v>19</v>
      </c>
    </row>
    <row r="19" spans="1:13" ht="18" customHeight="1" x14ac:dyDescent="0.3">
      <c r="A19" s="9" t="s">
        <v>74</v>
      </c>
      <c r="B19" s="10" t="s">
        <v>225</v>
      </c>
      <c r="C19" s="10" t="s">
        <v>198</v>
      </c>
      <c r="D19" s="10" t="s">
        <v>198</v>
      </c>
      <c r="E19" s="9" t="s">
        <v>75</v>
      </c>
      <c r="F19" s="9" t="s">
        <v>76</v>
      </c>
      <c r="G19" s="9" t="s">
        <v>50</v>
      </c>
      <c r="H19" s="11">
        <v>70</v>
      </c>
      <c r="I19" s="11">
        <v>5</v>
      </c>
      <c r="J19" s="12">
        <v>350</v>
      </c>
      <c r="K19" s="9" t="s">
        <v>33</v>
      </c>
      <c r="L19" s="9" t="s">
        <v>29</v>
      </c>
      <c r="M19" s="9" t="s">
        <v>38</v>
      </c>
    </row>
    <row r="20" spans="1:13" ht="18" customHeight="1" x14ac:dyDescent="0.3">
      <c r="A20" s="9" t="s">
        <v>77</v>
      </c>
      <c r="B20" s="10" t="s">
        <v>226</v>
      </c>
      <c r="C20" s="10" t="s">
        <v>198</v>
      </c>
      <c r="D20" s="10" t="s">
        <v>198</v>
      </c>
      <c r="E20" s="9" t="s">
        <v>78</v>
      </c>
      <c r="F20" s="9" t="s">
        <v>64</v>
      </c>
      <c r="G20" s="9" t="s">
        <v>28</v>
      </c>
      <c r="H20" s="11">
        <v>94</v>
      </c>
      <c r="I20" s="11">
        <v>4</v>
      </c>
      <c r="J20" s="12">
        <v>376</v>
      </c>
      <c r="K20" s="9" t="s">
        <v>24</v>
      </c>
      <c r="L20" s="9" t="s">
        <v>29</v>
      </c>
      <c r="M20" s="9" t="s">
        <v>30</v>
      </c>
    </row>
    <row r="21" spans="1:13" ht="18" customHeight="1" x14ac:dyDescent="0.3">
      <c r="A21" s="9" t="s">
        <v>79</v>
      </c>
      <c r="B21" s="10" t="s">
        <v>227</v>
      </c>
      <c r="C21" s="10" t="s">
        <v>198</v>
      </c>
      <c r="D21" s="10" t="s">
        <v>198</v>
      </c>
      <c r="E21" s="9" t="s">
        <v>80</v>
      </c>
      <c r="F21" s="9" t="s">
        <v>81</v>
      </c>
      <c r="G21" s="9" t="s">
        <v>16</v>
      </c>
      <c r="H21" s="11">
        <v>813</v>
      </c>
      <c r="I21" s="11">
        <v>2</v>
      </c>
      <c r="J21" s="12">
        <v>1626</v>
      </c>
      <c r="K21" s="9" t="s">
        <v>24</v>
      </c>
      <c r="L21" s="9" t="s">
        <v>29</v>
      </c>
      <c r="M21" s="9" t="s">
        <v>61</v>
      </c>
    </row>
    <row r="22" spans="1:13" ht="18" customHeight="1" x14ac:dyDescent="0.3">
      <c r="A22" s="9" t="s">
        <v>82</v>
      </c>
      <c r="B22" s="10" t="s">
        <v>228</v>
      </c>
      <c r="C22" s="10" t="s">
        <v>198</v>
      </c>
      <c r="D22" s="10" t="s">
        <v>198</v>
      </c>
      <c r="E22" s="9" t="s">
        <v>52</v>
      </c>
      <c r="F22" s="9" t="s">
        <v>73</v>
      </c>
      <c r="G22" s="9" t="s">
        <v>45</v>
      </c>
      <c r="H22" s="11">
        <v>21</v>
      </c>
      <c r="I22" s="11">
        <v>4</v>
      </c>
      <c r="J22" s="12">
        <v>84</v>
      </c>
      <c r="K22" s="9" t="s">
        <v>33</v>
      </c>
      <c r="L22" s="9" t="s">
        <v>29</v>
      </c>
      <c r="M22" s="9" t="s">
        <v>38</v>
      </c>
    </row>
    <row r="23" spans="1:13" ht="18" customHeight="1" x14ac:dyDescent="0.3">
      <c r="A23" s="9" t="s">
        <v>83</v>
      </c>
      <c r="B23" s="10" t="s">
        <v>229</v>
      </c>
      <c r="C23" s="10" t="s">
        <v>198</v>
      </c>
      <c r="D23" s="10" t="s">
        <v>198</v>
      </c>
      <c r="E23" s="9" t="s">
        <v>63</v>
      </c>
      <c r="F23" s="9" t="s">
        <v>15</v>
      </c>
      <c r="G23" s="9" t="s">
        <v>50</v>
      </c>
      <c r="H23" s="11">
        <v>46</v>
      </c>
      <c r="I23" s="11">
        <v>5</v>
      </c>
      <c r="J23" s="12">
        <v>230</v>
      </c>
      <c r="K23" s="9" t="s">
        <v>33</v>
      </c>
      <c r="L23" s="9" t="s">
        <v>29</v>
      </c>
      <c r="M23" s="9" t="s">
        <v>30</v>
      </c>
    </row>
    <row r="24" spans="1:13" ht="18" customHeight="1" x14ac:dyDescent="0.3">
      <c r="A24" s="9" t="s">
        <v>84</v>
      </c>
      <c r="B24" s="10" t="s">
        <v>222</v>
      </c>
      <c r="C24" s="10" t="s">
        <v>198</v>
      </c>
      <c r="D24" s="10" t="s">
        <v>230</v>
      </c>
      <c r="E24" s="9" t="s">
        <v>85</v>
      </c>
      <c r="F24" s="9" t="s">
        <v>37</v>
      </c>
      <c r="G24" s="9" t="s">
        <v>50</v>
      </c>
      <c r="H24" s="11">
        <v>58</v>
      </c>
      <c r="I24" s="11">
        <v>3</v>
      </c>
      <c r="J24" s="12">
        <v>174</v>
      </c>
      <c r="K24" s="9" t="s">
        <v>41</v>
      </c>
      <c r="L24" s="9" t="s">
        <v>18</v>
      </c>
      <c r="M24" s="9" t="s">
        <v>38</v>
      </c>
    </row>
    <row r="25" spans="1:13" ht="18" customHeight="1" x14ac:dyDescent="0.3">
      <c r="A25" s="9" t="s">
        <v>86</v>
      </c>
      <c r="B25" s="10" t="s">
        <v>208</v>
      </c>
      <c r="C25" s="10" t="s">
        <v>231</v>
      </c>
      <c r="D25" s="10" t="s">
        <v>198</v>
      </c>
      <c r="E25" s="9" t="s">
        <v>87</v>
      </c>
      <c r="F25" s="9" t="s">
        <v>64</v>
      </c>
      <c r="G25" s="9" t="s">
        <v>50</v>
      </c>
      <c r="H25" s="11">
        <v>96</v>
      </c>
      <c r="I25" s="11">
        <v>5</v>
      </c>
      <c r="J25" s="12">
        <v>480</v>
      </c>
      <c r="K25" s="9" t="s">
        <v>41</v>
      </c>
      <c r="L25" s="9" t="s">
        <v>25</v>
      </c>
      <c r="M25" s="9" t="s">
        <v>38</v>
      </c>
    </row>
    <row r="26" spans="1:13" ht="18" customHeight="1" x14ac:dyDescent="0.3">
      <c r="A26" s="9" t="s">
        <v>88</v>
      </c>
      <c r="B26" s="10" t="s">
        <v>232</v>
      </c>
      <c r="C26" s="10" t="s">
        <v>233</v>
      </c>
      <c r="D26" s="10" t="s">
        <v>198</v>
      </c>
      <c r="E26" s="9" t="s">
        <v>89</v>
      </c>
      <c r="F26" s="9" t="s">
        <v>90</v>
      </c>
      <c r="G26" s="9" t="s">
        <v>28</v>
      </c>
      <c r="H26" s="11">
        <v>43</v>
      </c>
      <c r="I26" s="11">
        <v>1</v>
      </c>
      <c r="J26" s="12">
        <v>43</v>
      </c>
      <c r="K26" s="9" t="s">
        <v>46</v>
      </c>
      <c r="L26" s="9" t="s">
        <v>25</v>
      </c>
      <c r="M26" s="9" t="s">
        <v>38</v>
      </c>
    </row>
    <row r="27" spans="1:13" ht="18" customHeight="1" x14ac:dyDescent="0.3">
      <c r="A27" s="9" t="s">
        <v>91</v>
      </c>
      <c r="B27" s="10" t="s">
        <v>234</v>
      </c>
      <c r="C27" s="10" t="s">
        <v>235</v>
      </c>
      <c r="D27" s="10" t="s">
        <v>198</v>
      </c>
      <c r="E27" s="9" t="s">
        <v>36</v>
      </c>
      <c r="F27" s="9" t="s">
        <v>92</v>
      </c>
      <c r="G27" s="9" t="s">
        <v>28</v>
      </c>
      <c r="H27" s="11">
        <v>64</v>
      </c>
      <c r="I27" s="11">
        <v>4</v>
      </c>
      <c r="J27" s="12">
        <v>256</v>
      </c>
      <c r="K27" s="9" t="s">
        <v>46</v>
      </c>
      <c r="L27" s="9" t="s">
        <v>25</v>
      </c>
      <c r="M27" s="9" t="s">
        <v>30</v>
      </c>
    </row>
    <row r="28" spans="1:13" ht="18" customHeight="1" x14ac:dyDescent="0.3">
      <c r="A28" s="9" t="s">
        <v>93</v>
      </c>
      <c r="B28" s="10" t="s">
        <v>236</v>
      </c>
      <c r="C28" s="10" t="s">
        <v>198</v>
      </c>
      <c r="D28" s="10" t="s">
        <v>198</v>
      </c>
      <c r="E28" s="9" t="s">
        <v>94</v>
      </c>
      <c r="F28" s="9" t="s">
        <v>76</v>
      </c>
      <c r="G28" s="9" t="s">
        <v>28</v>
      </c>
      <c r="H28" s="11">
        <v>70</v>
      </c>
      <c r="I28" s="11">
        <v>2</v>
      </c>
      <c r="J28" s="12">
        <v>140</v>
      </c>
      <c r="K28" s="9" t="s">
        <v>41</v>
      </c>
      <c r="L28" s="9" t="s">
        <v>29</v>
      </c>
      <c r="M28" s="9" t="s">
        <v>38</v>
      </c>
    </row>
    <row r="29" spans="1:13" ht="18" customHeight="1" x14ac:dyDescent="0.3">
      <c r="A29" s="9" t="s">
        <v>95</v>
      </c>
      <c r="B29" s="10" t="s">
        <v>237</v>
      </c>
      <c r="C29" s="10" t="s">
        <v>198</v>
      </c>
      <c r="D29" s="10" t="s">
        <v>198</v>
      </c>
      <c r="E29" s="9" t="s">
        <v>94</v>
      </c>
      <c r="F29" s="9" t="s">
        <v>22</v>
      </c>
      <c r="G29" s="9" t="s">
        <v>45</v>
      </c>
      <c r="H29" s="11">
        <v>97</v>
      </c>
      <c r="I29" s="11">
        <v>3</v>
      </c>
      <c r="J29" s="12">
        <v>291</v>
      </c>
      <c r="K29" s="9" t="s">
        <v>24</v>
      </c>
      <c r="L29" s="9" t="s">
        <v>29</v>
      </c>
      <c r="M29" s="9" t="s">
        <v>38</v>
      </c>
    </row>
    <row r="30" spans="1:13" ht="18" customHeight="1" x14ac:dyDescent="0.3">
      <c r="A30" s="9" t="s">
        <v>96</v>
      </c>
      <c r="B30" s="10" t="s">
        <v>238</v>
      </c>
      <c r="C30" s="10" t="s">
        <v>198</v>
      </c>
      <c r="D30" s="10" t="s">
        <v>239</v>
      </c>
      <c r="E30" s="9" t="s">
        <v>97</v>
      </c>
      <c r="F30" s="9" t="s">
        <v>49</v>
      </c>
      <c r="G30" s="9" t="s">
        <v>23</v>
      </c>
      <c r="H30" s="11">
        <v>37</v>
      </c>
      <c r="I30" s="11">
        <v>3</v>
      </c>
      <c r="J30" s="12">
        <v>111</v>
      </c>
      <c r="K30" s="9" t="s">
        <v>17</v>
      </c>
      <c r="L30" s="9" t="s">
        <v>18</v>
      </c>
      <c r="M30" s="9" t="s">
        <v>19</v>
      </c>
    </row>
    <row r="31" spans="1:13" ht="18" customHeight="1" x14ac:dyDescent="0.3">
      <c r="A31" s="9" t="s">
        <v>98</v>
      </c>
      <c r="B31" s="10" t="s">
        <v>230</v>
      </c>
      <c r="C31" s="10" t="s">
        <v>198</v>
      </c>
      <c r="D31" s="10" t="s">
        <v>198</v>
      </c>
      <c r="E31" s="9" t="s">
        <v>99</v>
      </c>
      <c r="F31" s="9" t="s">
        <v>76</v>
      </c>
      <c r="G31" s="9" t="s">
        <v>16</v>
      </c>
      <c r="H31" s="11">
        <v>69</v>
      </c>
      <c r="I31" s="11">
        <v>5</v>
      </c>
      <c r="J31" s="12">
        <v>345</v>
      </c>
      <c r="K31" s="9" t="s">
        <v>41</v>
      </c>
      <c r="L31" s="9" t="s">
        <v>29</v>
      </c>
      <c r="M31" s="9" t="s">
        <v>38</v>
      </c>
    </row>
    <row r="32" spans="1:13" ht="18" customHeight="1" x14ac:dyDescent="0.3">
      <c r="A32" s="9" t="s">
        <v>100</v>
      </c>
      <c r="B32" s="10" t="s">
        <v>240</v>
      </c>
      <c r="C32" s="10" t="s">
        <v>198</v>
      </c>
      <c r="D32" s="10" t="s">
        <v>198</v>
      </c>
      <c r="E32" s="9" t="s">
        <v>101</v>
      </c>
      <c r="F32" s="9" t="s">
        <v>90</v>
      </c>
      <c r="G32" s="9" t="s">
        <v>16</v>
      </c>
      <c r="H32" s="11">
        <v>42</v>
      </c>
      <c r="I32" s="11">
        <v>5</v>
      </c>
      <c r="J32" s="12">
        <v>210</v>
      </c>
      <c r="K32" s="9" t="s">
        <v>41</v>
      </c>
      <c r="L32" s="9" t="s">
        <v>29</v>
      </c>
      <c r="M32" s="9" t="s">
        <v>34</v>
      </c>
    </row>
    <row r="33" spans="1:13" ht="18" customHeight="1" x14ac:dyDescent="0.3">
      <c r="A33" s="9" t="s">
        <v>102</v>
      </c>
      <c r="B33" s="10" t="s">
        <v>241</v>
      </c>
      <c r="C33" s="10" t="s">
        <v>198</v>
      </c>
      <c r="D33" s="10" t="s">
        <v>242</v>
      </c>
      <c r="E33" s="9" t="s">
        <v>103</v>
      </c>
      <c r="F33" s="9" t="s">
        <v>104</v>
      </c>
      <c r="G33" s="9" t="s">
        <v>23</v>
      </c>
      <c r="H33" s="11">
        <v>11</v>
      </c>
      <c r="I33" s="11">
        <v>5</v>
      </c>
      <c r="J33" s="12">
        <v>55</v>
      </c>
      <c r="K33" s="9" t="s">
        <v>46</v>
      </c>
      <c r="L33" s="9" t="s">
        <v>18</v>
      </c>
      <c r="M33" s="9" t="s">
        <v>61</v>
      </c>
    </row>
    <row r="34" spans="1:13" ht="18" customHeight="1" x14ac:dyDescent="0.3">
      <c r="A34" s="9" t="s">
        <v>105</v>
      </c>
      <c r="B34" s="10" t="s">
        <v>243</v>
      </c>
      <c r="C34" s="10" t="s">
        <v>244</v>
      </c>
      <c r="D34" s="10" t="s">
        <v>198</v>
      </c>
      <c r="E34" s="9" t="s">
        <v>85</v>
      </c>
      <c r="F34" s="9" t="s">
        <v>69</v>
      </c>
      <c r="G34" s="9" t="s">
        <v>28</v>
      </c>
      <c r="H34" s="11">
        <v>27</v>
      </c>
      <c r="I34" s="11">
        <v>2</v>
      </c>
      <c r="J34" s="12">
        <v>54</v>
      </c>
      <c r="K34" s="9" t="s">
        <v>17</v>
      </c>
      <c r="L34" s="9" t="s">
        <v>25</v>
      </c>
      <c r="M34" s="9" t="s">
        <v>30</v>
      </c>
    </row>
    <row r="35" spans="1:13" ht="18" customHeight="1" x14ac:dyDescent="0.3">
      <c r="A35" s="9" t="s">
        <v>106</v>
      </c>
      <c r="B35" s="10" t="s">
        <v>245</v>
      </c>
      <c r="C35" s="10" t="s">
        <v>198</v>
      </c>
      <c r="D35" s="10" t="s">
        <v>198</v>
      </c>
      <c r="E35" s="9" t="s">
        <v>80</v>
      </c>
      <c r="F35" s="9" t="s">
        <v>73</v>
      </c>
      <c r="G35" s="9" t="s">
        <v>28</v>
      </c>
      <c r="H35" s="11">
        <v>21</v>
      </c>
      <c r="I35" s="11">
        <v>1</v>
      </c>
      <c r="J35" s="12">
        <v>21</v>
      </c>
      <c r="K35" s="9" t="s">
        <v>41</v>
      </c>
      <c r="L35" s="9" t="s">
        <v>29</v>
      </c>
      <c r="M35" s="9" t="s">
        <v>19</v>
      </c>
    </row>
    <row r="36" spans="1:13" ht="18" customHeight="1" x14ac:dyDescent="0.3">
      <c r="A36" s="9" t="s">
        <v>107</v>
      </c>
      <c r="B36" s="10" t="s">
        <v>246</v>
      </c>
      <c r="C36" s="10" t="s">
        <v>247</v>
      </c>
      <c r="D36" s="10" t="s">
        <v>198</v>
      </c>
      <c r="E36" s="9" t="s">
        <v>108</v>
      </c>
      <c r="F36" s="9" t="s">
        <v>109</v>
      </c>
      <c r="G36" s="9" t="s">
        <v>28</v>
      </c>
      <c r="H36" s="11">
        <v>172</v>
      </c>
      <c r="I36" s="11">
        <v>1</v>
      </c>
      <c r="J36" s="12">
        <v>172</v>
      </c>
      <c r="K36" s="9" t="s">
        <v>33</v>
      </c>
      <c r="L36" s="9" t="s">
        <v>25</v>
      </c>
      <c r="M36" s="9" t="s">
        <v>30</v>
      </c>
    </row>
    <row r="37" spans="1:13" ht="18" customHeight="1" x14ac:dyDescent="0.3">
      <c r="A37" s="9" t="s">
        <v>110</v>
      </c>
      <c r="B37" s="10" t="s">
        <v>248</v>
      </c>
      <c r="C37" s="10" t="s">
        <v>198</v>
      </c>
      <c r="D37" s="10" t="s">
        <v>198</v>
      </c>
      <c r="E37" s="9" t="s">
        <v>101</v>
      </c>
      <c r="F37" s="9" t="s">
        <v>111</v>
      </c>
      <c r="G37" s="9" t="s">
        <v>16</v>
      </c>
      <c r="H37" s="11">
        <v>212</v>
      </c>
      <c r="I37" s="11">
        <v>3</v>
      </c>
      <c r="J37" s="12">
        <v>636</v>
      </c>
      <c r="K37" s="9" t="s">
        <v>41</v>
      </c>
      <c r="L37" s="9" t="s">
        <v>29</v>
      </c>
      <c r="M37" s="9" t="s">
        <v>34</v>
      </c>
    </row>
    <row r="38" spans="1:13" ht="18" customHeight="1" x14ac:dyDescent="0.3">
      <c r="A38" s="9" t="s">
        <v>112</v>
      </c>
      <c r="B38" s="10" t="s">
        <v>249</v>
      </c>
      <c r="C38" s="10" t="s">
        <v>250</v>
      </c>
      <c r="D38" s="10" t="s">
        <v>198</v>
      </c>
      <c r="E38" s="9" t="s">
        <v>32</v>
      </c>
      <c r="F38" s="9" t="s">
        <v>90</v>
      </c>
      <c r="G38" s="9" t="s">
        <v>23</v>
      </c>
      <c r="H38" s="11">
        <v>41</v>
      </c>
      <c r="I38" s="11">
        <v>4</v>
      </c>
      <c r="J38" s="12">
        <v>164</v>
      </c>
      <c r="K38" s="9" t="s">
        <v>24</v>
      </c>
      <c r="L38" s="9" t="s">
        <v>25</v>
      </c>
      <c r="M38" s="9" t="s">
        <v>38</v>
      </c>
    </row>
    <row r="39" spans="1:13" ht="18" customHeight="1" x14ac:dyDescent="0.3">
      <c r="A39" s="9" t="s">
        <v>113</v>
      </c>
      <c r="B39" s="10" t="s">
        <v>251</v>
      </c>
      <c r="C39" s="10" t="s">
        <v>198</v>
      </c>
      <c r="D39" s="10" t="s">
        <v>252</v>
      </c>
      <c r="E39" s="9" t="s">
        <v>87</v>
      </c>
      <c r="F39" s="9" t="s">
        <v>114</v>
      </c>
      <c r="G39" s="9" t="s">
        <v>16</v>
      </c>
      <c r="H39" s="11">
        <v>32</v>
      </c>
      <c r="I39" s="11">
        <v>2</v>
      </c>
      <c r="J39" s="12">
        <v>64</v>
      </c>
      <c r="K39" s="9" t="s">
        <v>46</v>
      </c>
      <c r="L39" s="9" t="s">
        <v>18</v>
      </c>
      <c r="M39" s="9" t="s">
        <v>61</v>
      </c>
    </row>
    <row r="40" spans="1:13" ht="18" customHeight="1" x14ac:dyDescent="0.3">
      <c r="A40" s="9" t="s">
        <v>115</v>
      </c>
      <c r="B40" s="10" t="s">
        <v>253</v>
      </c>
      <c r="C40" s="10" t="s">
        <v>198</v>
      </c>
      <c r="D40" s="10" t="s">
        <v>198</v>
      </c>
      <c r="E40" s="9" t="s">
        <v>116</v>
      </c>
      <c r="F40" s="9" t="s">
        <v>92</v>
      </c>
      <c r="G40" s="9" t="s">
        <v>23</v>
      </c>
      <c r="H40" s="11">
        <v>66</v>
      </c>
      <c r="I40" s="11">
        <v>2</v>
      </c>
      <c r="J40" s="12">
        <v>132</v>
      </c>
      <c r="K40" s="9" t="s">
        <v>17</v>
      </c>
      <c r="L40" s="9" t="s">
        <v>29</v>
      </c>
      <c r="M40" s="9" t="s">
        <v>19</v>
      </c>
    </row>
    <row r="41" spans="1:13" ht="18" customHeight="1" x14ac:dyDescent="0.3">
      <c r="A41" s="9" t="s">
        <v>117</v>
      </c>
      <c r="B41" s="10" t="s">
        <v>254</v>
      </c>
      <c r="C41" s="10" t="s">
        <v>198</v>
      </c>
      <c r="D41" s="10" t="s">
        <v>198</v>
      </c>
      <c r="E41" s="9" t="s">
        <v>118</v>
      </c>
      <c r="F41" s="9" t="s">
        <v>119</v>
      </c>
      <c r="G41" s="9" t="s">
        <v>23</v>
      </c>
      <c r="H41" s="11">
        <v>62</v>
      </c>
      <c r="I41" s="11">
        <v>4</v>
      </c>
      <c r="J41" s="12">
        <v>248</v>
      </c>
      <c r="K41" s="9" t="s">
        <v>46</v>
      </c>
      <c r="L41" s="9" t="s">
        <v>29</v>
      </c>
      <c r="M41" s="9" t="s">
        <v>34</v>
      </c>
    </row>
    <row r="42" spans="1:13" ht="18" customHeight="1" x14ac:dyDescent="0.3">
      <c r="A42" s="9" t="s">
        <v>120</v>
      </c>
      <c r="B42" s="10" t="s">
        <v>255</v>
      </c>
      <c r="C42" s="10" t="s">
        <v>256</v>
      </c>
      <c r="D42" s="10" t="s">
        <v>198</v>
      </c>
      <c r="E42" s="9" t="s">
        <v>121</v>
      </c>
      <c r="F42" s="9" t="s">
        <v>109</v>
      </c>
      <c r="G42" s="9" t="s">
        <v>50</v>
      </c>
      <c r="H42" s="11">
        <v>173</v>
      </c>
      <c r="I42" s="11">
        <v>4</v>
      </c>
      <c r="J42" s="12">
        <v>692</v>
      </c>
      <c r="K42" s="9" t="s">
        <v>17</v>
      </c>
      <c r="L42" s="9" t="s">
        <v>25</v>
      </c>
      <c r="M42" s="9" t="s">
        <v>34</v>
      </c>
    </row>
    <row r="43" spans="1:13" ht="18" customHeight="1" x14ac:dyDescent="0.3">
      <c r="A43" s="9" t="s">
        <v>122</v>
      </c>
      <c r="B43" s="10" t="s">
        <v>257</v>
      </c>
      <c r="C43" s="10" t="s">
        <v>258</v>
      </c>
      <c r="D43" s="10" t="s">
        <v>198</v>
      </c>
      <c r="E43" s="9" t="s">
        <v>97</v>
      </c>
      <c r="F43" s="9" t="s">
        <v>119</v>
      </c>
      <c r="G43" s="9" t="s">
        <v>50</v>
      </c>
      <c r="H43" s="11">
        <v>63</v>
      </c>
      <c r="I43" s="11">
        <v>3</v>
      </c>
      <c r="J43" s="12">
        <v>189</v>
      </c>
      <c r="K43" s="9" t="s">
        <v>17</v>
      </c>
      <c r="L43" s="9" t="s">
        <v>25</v>
      </c>
      <c r="M43" s="9" t="s">
        <v>34</v>
      </c>
    </row>
    <row r="44" spans="1:13" ht="18" customHeight="1" x14ac:dyDescent="0.3">
      <c r="A44" s="9" t="s">
        <v>123</v>
      </c>
      <c r="B44" s="10" t="s">
        <v>206</v>
      </c>
      <c r="C44" s="10" t="s">
        <v>198</v>
      </c>
      <c r="D44" s="10" t="s">
        <v>259</v>
      </c>
      <c r="E44" s="9" t="s">
        <v>89</v>
      </c>
      <c r="F44" s="9" t="s">
        <v>49</v>
      </c>
      <c r="G44" s="9" t="s">
        <v>50</v>
      </c>
      <c r="H44" s="11">
        <v>36</v>
      </c>
      <c r="I44" s="11">
        <v>3</v>
      </c>
      <c r="J44" s="12">
        <v>108</v>
      </c>
      <c r="K44" s="9" t="s">
        <v>46</v>
      </c>
      <c r="L44" s="9" t="s">
        <v>18</v>
      </c>
      <c r="M44" s="9" t="s">
        <v>30</v>
      </c>
    </row>
    <row r="45" spans="1:13" ht="18" customHeight="1" x14ac:dyDescent="0.3">
      <c r="A45" s="9" t="s">
        <v>124</v>
      </c>
      <c r="B45" s="10" t="s">
        <v>260</v>
      </c>
      <c r="C45" s="10" t="s">
        <v>198</v>
      </c>
      <c r="D45" s="10" t="s">
        <v>261</v>
      </c>
      <c r="E45" s="9" t="s">
        <v>118</v>
      </c>
      <c r="F45" s="9" t="s">
        <v>119</v>
      </c>
      <c r="G45" s="9" t="s">
        <v>45</v>
      </c>
      <c r="H45" s="11">
        <v>62</v>
      </c>
      <c r="I45" s="11">
        <v>1</v>
      </c>
      <c r="J45" s="12">
        <v>62</v>
      </c>
      <c r="K45" s="9" t="s">
        <v>17</v>
      </c>
      <c r="L45" s="9" t="s">
        <v>18</v>
      </c>
      <c r="M45" s="9" t="s">
        <v>38</v>
      </c>
    </row>
    <row r="46" spans="1:13" ht="18" customHeight="1" x14ac:dyDescent="0.3">
      <c r="A46" s="9" t="s">
        <v>125</v>
      </c>
      <c r="B46" s="10" t="s">
        <v>262</v>
      </c>
      <c r="C46" s="10" t="s">
        <v>198</v>
      </c>
      <c r="D46" s="10" t="s">
        <v>263</v>
      </c>
      <c r="E46" s="9" t="s">
        <v>43</v>
      </c>
      <c r="F46" s="9" t="s">
        <v>55</v>
      </c>
      <c r="G46" s="9" t="s">
        <v>45</v>
      </c>
      <c r="H46" s="11">
        <v>137</v>
      </c>
      <c r="I46" s="11">
        <v>5</v>
      </c>
      <c r="J46" s="12">
        <v>685</v>
      </c>
      <c r="K46" s="9" t="s">
        <v>41</v>
      </c>
      <c r="L46" s="9" t="s">
        <v>18</v>
      </c>
      <c r="M46" s="9" t="s">
        <v>61</v>
      </c>
    </row>
    <row r="47" spans="1:13" ht="18" customHeight="1" x14ac:dyDescent="0.3">
      <c r="A47" s="9" t="s">
        <v>126</v>
      </c>
      <c r="B47" s="10" t="s">
        <v>264</v>
      </c>
      <c r="C47" s="10" t="s">
        <v>265</v>
      </c>
      <c r="D47" s="10" t="s">
        <v>198</v>
      </c>
      <c r="E47" s="9" t="s">
        <v>127</v>
      </c>
      <c r="F47" s="9" t="s">
        <v>67</v>
      </c>
      <c r="G47" s="9" t="s">
        <v>16</v>
      </c>
      <c r="H47" s="11">
        <v>73</v>
      </c>
      <c r="I47" s="11">
        <v>4</v>
      </c>
      <c r="J47" s="12">
        <v>292</v>
      </c>
      <c r="K47" s="9" t="s">
        <v>24</v>
      </c>
      <c r="L47" s="9" t="s">
        <v>25</v>
      </c>
      <c r="M47" s="9" t="s">
        <v>38</v>
      </c>
    </row>
    <row r="48" spans="1:13" ht="18" customHeight="1" x14ac:dyDescent="0.3">
      <c r="A48" s="9" t="s">
        <v>128</v>
      </c>
      <c r="B48" s="10" t="s">
        <v>266</v>
      </c>
      <c r="C48" s="10" t="s">
        <v>267</v>
      </c>
      <c r="D48" s="10" t="s">
        <v>198</v>
      </c>
      <c r="E48" s="9" t="s">
        <v>78</v>
      </c>
      <c r="F48" s="9" t="s">
        <v>44</v>
      </c>
      <c r="G48" s="9" t="s">
        <v>16</v>
      </c>
      <c r="H48" s="11">
        <v>104</v>
      </c>
      <c r="I48" s="11">
        <v>1</v>
      </c>
      <c r="J48" s="12">
        <v>104</v>
      </c>
      <c r="K48" s="9" t="s">
        <v>33</v>
      </c>
      <c r="L48" s="9" t="s">
        <v>25</v>
      </c>
      <c r="M48" s="9" t="s">
        <v>38</v>
      </c>
    </row>
    <row r="49" spans="1:13" ht="18" customHeight="1" x14ac:dyDescent="0.3">
      <c r="A49" s="9" t="s">
        <v>129</v>
      </c>
      <c r="B49" s="10" t="s">
        <v>268</v>
      </c>
      <c r="C49" s="10" t="s">
        <v>269</v>
      </c>
      <c r="D49" s="10" t="s">
        <v>198</v>
      </c>
      <c r="E49" s="9" t="s">
        <v>32</v>
      </c>
      <c r="F49" s="9" t="s">
        <v>64</v>
      </c>
      <c r="G49" s="9" t="s">
        <v>23</v>
      </c>
      <c r="H49" s="11">
        <v>97</v>
      </c>
      <c r="I49" s="11">
        <v>1</v>
      </c>
      <c r="J49" s="12">
        <v>97</v>
      </c>
      <c r="K49" s="9" t="s">
        <v>41</v>
      </c>
      <c r="L49" s="9" t="s">
        <v>25</v>
      </c>
      <c r="M49" s="9" t="s">
        <v>61</v>
      </c>
    </row>
    <row r="50" spans="1:13" ht="18" customHeight="1" x14ac:dyDescent="0.3">
      <c r="A50" s="9" t="s">
        <v>130</v>
      </c>
      <c r="B50" s="10" t="s">
        <v>270</v>
      </c>
      <c r="C50" s="10" t="s">
        <v>198</v>
      </c>
      <c r="D50" s="10" t="s">
        <v>198</v>
      </c>
      <c r="E50" s="9" t="s">
        <v>131</v>
      </c>
      <c r="F50" s="9" t="s">
        <v>67</v>
      </c>
      <c r="G50" s="9" t="s">
        <v>28</v>
      </c>
      <c r="H50" s="11">
        <v>73</v>
      </c>
      <c r="I50" s="11">
        <v>5</v>
      </c>
      <c r="J50" s="12">
        <v>365</v>
      </c>
      <c r="K50" s="9" t="s">
        <v>17</v>
      </c>
      <c r="L50" s="9" t="s">
        <v>29</v>
      </c>
      <c r="M50" s="9" t="s">
        <v>38</v>
      </c>
    </row>
    <row r="51" spans="1:13" ht="18" customHeight="1" x14ac:dyDescent="0.3">
      <c r="A51" s="9" t="s">
        <v>132</v>
      </c>
      <c r="B51" s="10" t="s">
        <v>271</v>
      </c>
      <c r="C51" s="10" t="s">
        <v>272</v>
      </c>
      <c r="D51" s="10" t="s">
        <v>198</v>
      </c>
      <c r="E51" s="9" t="s">
        <v>89</v>
      </c>
      <c r="F51" s="9" t="s">
        <v>69</v>
      </c>
      <c r="G51" s="9" t="s">
        <v>23</v>
      </c>
      <c r="H51" s="11">
        <v>27</v>
      </c>
      <c r="I51" s="11">
        <v>3</v>
      </c>
      <c r="J51" s="12">
        <v>81</v>
      </c>
      <c r="K51" s="9" t="s">
        <v>41</v>
      </c>
      <c r="L51" s="9" t="s">
        <v>25</v>
      </c>
      <c r="M51" s="9" t="s">
        <v>34</v>
      </c>
    </row>
    <row r="52" spans="1:13" ht="18" customHeight="1" x14ac:dyDescent="0.3">
      <c r="A52" s="9" t="s">
        <v>133</v>
      </c>
      <c r="B52" s="10" t="s">
        <v>228</v>
      </c>
      <c r="C52" s="10" t="s">
        <v>198</v>
      </c>
      <c r="D52" s="10" t="s">
        <v>198</v>
      </c>
      <c r="E52" s="9" t="s">
        <v>78</v>
      </c>
      <c r="F52" s="9" t="s">
        <v>49</v>
      </c>
      <c r="G52" s="9" t="s">
        <v>16</v>
      </c>
      <c r="H52" s="11">
        <v>37</v>
      </c>
      <c r="I52" s="11">
        <v>1</v>
      </c>
      <c r="J52" s="12">
        <v>37</v>
      </c>
      <c r="K52" s="9" t="s">
        <v>17</v>
      </c>
      <c r="L52" s="9" t="s">
        <v>29</v>
      </c>
      <c r="M52" s="9" t="s">
        <v>34</v>
      </c>
    </row>
    <row r="53" spans="1:13" ht="18" customHeight="1" x14ac:dyDescent="0.3">
      <c r="A53" s="9" t="s">
        <v>134</v>
      </c>
      <c r="B53" s="10" t="s">
        <v>273</v>
      </c>
      <c r="C53" s="10" t="s">
        <v>274</v>
      </c>
      <c r="D53" s="10" t="s">
        <v>198</v>
      </c>
      <c r="E53" s="9" t="s">
        <v>99</v>
      </c>
      <c r="F53" s="9" t="s">
        <v>73</v>
      </c>
      <c r="G53" s="9" t="s">
        <v>16</v>
      </c>
      <c r="H53" s="11">
        <v>22</v>
      </c>
      <c r="I53" s="11">
        <v>1</v>
      </c>
      <c r="J53" s="12">
        <v>22</v>
      </c>
      <c r="K53" s="9" t="s">
        <v>46</v>
      </c>
      <c r="L53" s="9" t="s">
        <v>25</v>
      </c>
      <c r="M53" s="9" t="s">
        <v>61</v>
      </c>
    </row>
    <row r="54" spans="1:13" ht="18" customHeight="1" x14ac:dyDescent="0.3">
      <c r="A54" s="9" t="s">
        <v>135</v>
      </c>
      <c r="B54" s="10" t="s">
        <v>214</v>
      </c>
      <c r="C54" s="10" t="s">
        <v>275</v>
      </c>
      <c r="D54" s="10" t="s">
        <v>198</v>
      </c>
      <c r="E54" s="9" t="s">
        <v>75</v>
      </c>
      <c r="F54" s="9" t="s">
        <v>111</v>
      </c>
      <c r="G54" s="9" t="s">
        <v>45</v>
      </c>
      <c r="H54" s="11">
        <v>218</v>
      </c>
      <c r="I54" s="11">
        <v>5</v>
      </c>
      <c r="J54" s="12">
        <v>1090</v>
      </c>
      <c r="K54" s="9" t="s">
        <v>33</v>
      </c>
      <c r="L54" s="9" t="s">
        <v>25</v>
      </c>
      <c r="M54" s="9" t="s">
        <v>19</v>
      </c>
    </row>
    <row r="55" spans="1:13" ht="18" customHeight="1" x14ac:dyDescent="0.3">
      <c r="A55" s="9" t="s">
        <v>136</v>
      </c>
      <c r="B55" s="10" t="s">
        <v>276</v>
      </c>
      <c r="C55" s="10" t="s">
        <v>198</v>
      </c>
      <c r="D55" s="10" t="s">
        <v>277</v>
      </c>
      <c r="E55" s="9" t="s">
        <v>94</v>
      </c>
      <c r="F55" s="9" t="s">
        <v>119</v>
      </c>
      <c r="G55" s="9" t="s">
        <v>16</v>
      </c>
      <c r="H55" s="11">
        <v>64</v>
      </c>
      <c r="I55" s="11">
        <v>1</v>
      </c>
      <c r="J55" s="12">
        <v>64</v>
      </c>
      <c r="K55" s="9" t="s">
        <v>17</v>
      </c>
      <c r="L55" s="9" t="s">
        <v>18</v>
      </c>
      <c r="M55" s="9" t="s">
        <v>30</v>
      </c>
    </row>
    <row r="56" spans="1:13" ht="18" customHeight="1" x14ac:dyDescent="0.3">
      <c r="A56" s="9" t="s">
        <v>137</v>
      </c>
      <c r="B56" s="10" t="s">
        <v>205</v>
      </c>
      <c r="C56" s="10" t="s">
        <v>278</v>
      </c>
      <c r="D56" s="10" t="s">
        <v>198</v>
      </c>
      <c r="E56" s="9" t="s">
        <v>103</v>
      </c>
      <c r="F56" s="9" t="s">
        <v>49</v>
      </c>
      <c r="G56" s="9" t="s">
        <v>45</v>
      </c>
      <c r="H56" s="11">
        <v>36</v>
      </c>
      <c r="I56" s="11">
        <v>4</v>
      </c>
      <c r="J56" s="12">
        <v>144</v>
      </c>
      <c r="K56" s="9" t="s">
        <v>33</v>
      </c>
      <c r="L56" s="9" t="s">
        <v>25</v>
      </c>
      <c r="M56" s="9" t="s">
        <v>38</v>
      </c>
    </row>
    <row r="57" spans="1:13" ht="18" customHeight="1" x14ac:dyDescent="0.3">
      <c r="A57" s="9" t="s">
        <v>138</v>
      </c>
      <c r="B57" s="10" t="s">
        <v>279</v>
      </c>
      <c r="C57" s="10" t="s">
        <v>235</v>
      </c>
      <c r="D57" s="10" t="s">
        <v>198</v>
      </c>
      <c r="E57" s="9" t="s">
        <v>139</v>
      </c>
      <c r="F57" s="9" t="s">
        <v>119</v>
      </c>
      <c r="G57" s="9" t="s">
        <v>50</v>
      </c>
      <c r="H57" s="11">
        <v>65</v>
      </c>
      <c r="I57" s="11">
        <v>1</v>
      </c>
      <c r="J57" s="12">
        <v>65</v>
      </c>
      <c r="K57" s="9" t="s">
        <v>41</v>
      </c>
      <c r="L57" s="9" t="s">
        <v>25</v>
      </c>
      <c r="M57" s="9" t="s">
        <v>61</v>
      </c>
    </row>
    <row r="58" spans="1:13" ht="18" customHeight="1" x14ac:dyDescent="0.3">
      <c r="A58" s="9" t="s">
        <v>140</v>
      </c>
      <c r="B58" s="10" t="s">
        <v>280</v>
      </c>
      <c r="C58" s="10" t="s">
        <v>281</v>
      </c>
      <c r="D58" s="10" t="s">
        <v>198</v>
      </c>
      <c r="E58" s="9" t="s">
        <v>80</v>
      </c>
      <c r="F58" s="9" t="s">
        <v>69</v>
      </c>
      <c r="G58" s="9" t="s">
        <v>45</v>
      </c>
      <c r="H58" s="11">
        <v>26</v>
      </c>
      <c r="I58" s="11">
        <v>1</v>
      </c>
      <c r="J58" s="12">
        <v>26</v>
      </c>
      <c r="K58" s="9" t="s">
        <v>17</v>
      </c>
      <c r="L58" s="9" t="s">
        <v>25</v>
      </c>
      <c r="M58" s="9" t="s">
        <v>19</v>
      </c>
    </row>
    <row r="59" spans="1:13" ht="18" customHeight="1" x14ac:dyDescent="0.3">
      <c r="A59" s="9" t="s">
        <v>141</v>
      </c>
      <c r="B59" s="10" t="s">
        <v>216</v>
      </c>
      <c r="C59" s="10" t="s">
        <v>198</v>
      </c>
      <c r="D59" s="10" t="s">
        <v>198</v>
      </c>
      <c r="E59" s="9" t="s">
        <v>14</v>
      </c>
      <c r="F59" s="9" t="s">
        <v>104</v>
      </c>
      <c r="G59" s="9" t="s">
        <v>16</v>
      </c>
      <c r="H59" s="11">
        <v>11</v>
      </c>
      <c r="I59" s="11">
        <v>5</v>
      </c>
      <c r="J59" s="12">
        <v>55</v>
      </c>
      <c r="K59" s="9" t="s">
        <v>24</v>
      </c>
      <c r="L59" s="9" t="s">
        <v>29</v>
      </c>
      <c r="M59" s="9" t="s">
        <v>61</v>
      </c>
    </row>
    <row r="60" spans="1:13" ht="18" customHeight="1" x14ac:dyDescent="0.3">
      <c r="A60" s="9" t="s">
        <v>142</v>
      </c>
      <c r="B60" s="10" t="s">
        <v>282</v>
      </c>
      <c r="C60" s="10" t="s">
        <v>198</v>
      </c>
      <c r="D60" s="10" t="s">
        <v>283</v>
      </c>
      <c r="E60" s="9" t="s">
        <v>143</v>
      </c>
      <c r="F60" s="9" t="s">
        <v>27</v>
      </c>
      <c r="G60" s="9" t="s">
        <v>16</v>
      </c>
      <c r="H60" s="11">
        <v>195</v>
      </c>
      <c r="I60" s="11">
        <v>4</v>
      </c>
      <c r="J60" s="12">
        <v>780</v>
      </c>
      <c r="K60" s="9" t="s">
        <v>33</v>
      </c>
      <c r="L60" s="9" t="s">
        <v>18</v>
      </c>
      <c r="M60" s="9" t="s">
        <v>61</v>
      </c>
    </row>
    <row r="61" spans="1:13" ht="18" customHeight="1" x14ac:dyDescent="0.3">
      <c r="A61" s="9" t="s">
        <v>144</v>
      </c>
      <c r="B61" s="10" t="s">
        <v>202</v>
      </c>
      <c r="C61" s="10" t="s">
        <v>198</v>
      </c>
      <c r="D61" s="10" t="s">
        <v>284</v>
      </c>
      <c r="E61" s="9" t="s">
        <v>48</v>
      </c>
      <c r="F61" s="9" t="s">
        <v>53</v>
      </c>
      <c r="G61" s="9" t="s">
        <v>50</v>
      </c>
      <c r="H61" s="11">
        <v>44</v>
      </c>
      <c r="I61" s="11">
        <v>5</v>
      </c>
      <c r="J61" s="12">
        <v>220</v>
      </c>
      <c r="K61" s="9" t="s">
        <v>17</v>
      </c>
      <c r="L61" s="9" t="s">
        <v>18</v>
      </c>
      <c r="M61" s="9" t="s">
        <v>30</v>
      </c>
    </row>
    <row r="62" spans="1:13" ht="18" customHeight="1" x14ac:dyDescent="0.3">
      <c r="A62" s="9" t="s">
        <v>145</v>
      </c>
      <c r="B62" s="10" t="s">
        <v>285</v>
      </c>
      <c r="C62" s="10" t="s">
        <v>198</v>
      </c>
      <c r="D62" s="10" t="s">
        <v>198</v>
      </c>
      <c r="E62" s="9" t="s">
        <v>146</v>
      </c>
      <c r="F62" s="9" t="s">
        <v>76</v>
      </c>
      <c r="G62" s="9" t="s">
        <v>23</v>
      </c>
      <c r="H62" s="11">
        <v>69</v>
      </c>
      <c r="I62" s="11">
        <v>4</v>
      </c>
      <c r="J62" s="12">
        <v>276</v>
      </c>
      <c r="K62" s="9" t="s">
        <v>46</v>
      </c>
      <c r="L62" s="9" t="s">
        <v>29</v>
      </c>
      <c r="M62" s="9" t="s">
        <v>19</v>
      </c>
    </row>
    <row r="63" spans="1:13" ht="18" customHeight="1" x14ac:dyDescent="0.3">
      <c r="A63" s="9" t="s">
        <v>147</v>
      </c>
      <c r="B63" s="10" t="s">
        <v>286</v>
      </c>
      <c r="C63" s="10" t="s">
        <v>287</v>
      </c>
      <c r="D63" s="10" t="s">
        <v>198</v>
      </c>
      <c r="E63" s="9" t="s">
        <v>148</v>
      </c>
      <c r="F63" s="9" t="s">
        <v>81</v>
      </c>
      <c r="G63" s="9" t="s">
        <v>16</v>
      </c>
      <c r="H63" s="11">
        <v>815</v>
      </c>
      <c r="I63" s="11">
        <v>4</v>
      </c>
      <c r="J63" s="12">
        <v>3260</v>
      </c>
      <c r="K63" s="9" t="s">
        <v>24</v>
      </c>
      <c r="L63" s="9" t="s">
        <v>25</v>
      </c>
      <c r="M63" s="9" t="s">
        <v>30</v>
      </c>
    </row>
    <row r="64" spans="1:13" ht="18" customHeight="1" x14ac:dyDescent="0.3">
      <c r="A64" s="9" t="s">
        <v>149</v>
      </c>
      <c r="B64" s="10" t="s">
        <v>288</v>
      </c>
      <c r="C64" s="10" t="s">
        <v>198</v>
      </c>
      <c r="D64" s="10" t="s">
        <v>198</v>
      </c>
      <c r="E64" s="9" t="s">
        <v>150</v>
      </c>
      <c r="F64" s="9" t="s">
        <v>69</v>
      </c>
      <c r="G64" s="9" t="s">
        <v>23</v>
      </c>
      <c r="H64" s="11">
        <v>27</v>
      </c>
      <c r="I64" s="11">
        <v>1</v>
      </c>
      <c r="J64" s="12">
        <v>27</v>
      </c>
      <c r="K64" s="9" t="s">
        <v>46</v>
      </c>
      <c r="L64" s="9" t="s">
        <v>29</v>
      </c>
      <c r="M64" s="9" t="s">
        <v>38</v>
      </c>
    </row>
    <row r="65" spans="1:13" ht="18" customHeight="1" x14ac:dyDescent="0.3">
      <c r="A65" s="9" t="s">
        <v>151</v>
      </c>
      <c r="B65" s="10" t="s">
        <v>254</v>
      </c>
      <c r="C65" s="10" t="s">
        <v>214</v>
      </c>
      <c r="D65" s="10" t="s">
        <v>198</v>
      </c>
      <c r="E65" s="9" t="s">
        <v>152</v>
      </c>
      <c r="F65" s="9" t="s">
        <v>55</v>
      </c>
      <c r="G65" s="9" t="s">
        <v>50</v>
      </c>
      <c r="H65" s="11">
        <v>139</v>
      </c>
      <c r="I65" s="11">
        <v>5</v>
      </c>
      <c r="J65" s="12">
        <v>695</v>
      </c>
      <c r="K65" s="9" t="s">
        <v>17</v>
      </c>
      <c r="L65" s="9" t="s">
        <v>25</v>
      </c>
      <c r="M65" s="9" t="s">
        <v>30</v>
      </c>
    </row>
    <row r="66" spans="1:13" ht="18" customHeight="1" x14ac:dyDescent="0.3">
      <c r="A66" s="9" t="s">
        <v>153</v>
      </c>
      <c r="B66" s="10" t="s">
        <v>279</v>
      </c>
      <c r="C66" s="10" t="s">
        <v>198</v>
      </c>
      <c r="D66" s="10" t="s">
        <v>289</v>
      </c>
      <c r="E66" s="9" t="s">
        <v>40</v>
      </c>
      <c r="F66" s="9" t="s">
        <v>76</v>
      </c>
      <c r="G66" s="9" t="s">
        <v>28</v>
      </c>
      <c r="H66" s="11">
        <v>69</v>
      </c>
      <c r="I66" s="11">
        <v>3</v>
      </c>
      <c r="J66" s="12">
        <v>207</v>
      </c>
      <c r="K66" s="9" t="s">
        <v>33</v>
      </c>
      <c r="L66" s="9" t="s">
        <v>18</v>
      </c>
      <c r="M66" s="9" t="s">
        <v>38</v>
      </c>
    </row>
    <row r="67" spans="1:13" ht="18" customHeight="1" x14ac:dyDescent="0.3">
      <c r="A67" s="9" t="s">
        <v>154</v>
      </c>
      <c r="B67" s="10" t="s">
        <v>290</v>
      </c>
      <c r="C67" s="10" t="s">
        <v>198</v>
      </c>
      <c r="D67" s="10" t="s">
        <v>291</v>
      </c>
      <c r="E67" s="9" t="s">
        <v>40</v>
      </c>
      <c r="F67" s="9" t="s">
        <v>53</v>
      </c>
      <c r="G67" s="9" t="s">
        <v>50</v>
      </c>
      <c r="H67" s="11">
        <v>42</v>
      </c>
      <c r="I67" s="11">
        <v>1</v>
      </c>
      <c r="J67" s="12">
        <v>42</v>
      </c>
      <c r="K67" s="9" t="s">
        <v>17</v>
      </c>
      <c r="L67" s="9" t="s">
        <v>18</v>
      </c>
      <c r="M67" s="9" t="s">
        <v>19</v>
      </c>
    </row>
    <row r="68" spans="1:13" ht="18" customHeight="1" x14ac:dyDescent="0.3">
      <c r="A68" s="9" t="s">
        <v>155</v>
      </c>
      <c r="B68" s="10" t="s">
        <v>292</v>
      </c>
      <c r="C68" s="10" t="s">
        <v>293</v>
      </c>
      <c r="D68" s="10" t="s">
        <v>198</v>
      </c>
      <c r="E68" s="9" t="s">
        <v>156</v>
      </c>
      <c r="F68" s="9" t="s">
        <v>114</v>
      </c>
      <c r="G68" s="9" t="s">
        <v>16</v>
      </c>
      <c r="H68" s="11">
        <v>31</v>
      </c>
      <c r="I68" s="11">
        <v>4</v>
      </c>
      <c r="J68" s="12">
        <v>124</v>
      </c>
      <c r="K68" s="9" t="s">
        <v>24</v>
      </c>
      <c r="L68" s="9" t="s">
        <v>25</v>
      </c>
      <c r="M68" s="9" t="s">
        <v>34</v>
      </c>
    </row>
    <row r="69" spans="1:13" ht="18" customHeight="1" x14ac:dyDescent="0.3">
      <c r="A69" s="9" t="s">
        <v>157</v>
      </c>
      <c r="B69" s="10" t="s">
        <v>260</v>
      </c>
      <c r="C69" s="10" t="s">
        <v>198</v>
      </c>
      <c r="D69" s="10" t="s">
        <v>198</v>
      </c>
      <c r="E69" s="9" t="s">
        <v>60</v>
      </c>
      <c r="F69" s="9" t="s">
        <v>44</v>
      </c>
      <c r="G69" s="9" t="s">
        <v>50</v>
      </c>
      <c r="H69" s="11">
        <v>104</v>
      </c>
      <c r="I69" s="11">
        <v>3</v>
      </c>
      <c r="J69" s="12">
        <v>312</v>
      </c>
      <c r="K69" s="9" t="s">
        <v>24</v>
      </c>
      <c r="L69" s="9" t="s">
        <v>29</v>
      </c>
      <c r="M69" s="9" t="s">
        <v>34</v>
      </c>
    </row>
    <row r="70" spans="1:13" ht="18" customHeight="1" x14ac:dyDescent="0.3">
      <c r="A70" s="9" t="s">
        <v>158</v>
      </c>
      <c r="B70" s="10" t="s">
        <v>294</v>
      </c>
      <c r="C70" s="10" t="s">
        <v>198</v>
      </c>
      <c r="D70" s="10" t="s">
        <v>295</v>
      </c>
      <c r="E70" s="9" t="s">
        <v>32</v>
      </c>
      <c r="F70" s="9" t="s">
        <v>37</v>
      </c>
      <c r="G70" s="9" t="s">
        <v>23</v>
      </c>
      <c r="H70" s="11">
        <v>58</v>
      </c>
      <c r="I70" s="11">
        <v>2</v>
      </c>
      <c r="J70" s="12">
        <v>116</v>
      </c>
      <c r="K70" s="9" t="s">
        <v>17</v>
      </c>
      <c r="L70" s="9" t="s">
        <v>18</v>
      </c>
      <c r="M70" s="9" t="s">
        <v>30</v>
      </c>
    </row>
    <row r="71" spans="1:13" ht="18" customHeight="1" x14ac:dyDescent="0.3">
      <c r="A71" s="9" t="s">
        <v>159</v>
      </c>
      <c r="B71" s="10" t="s">
        <v>237</v>
      </c>
      <c r="C71" s="10" t="s">
        <v>198</v>
      </c>
      <c r="D71" s="10" t="s">
        <v>239</v>
      </c>
      <c r="E71" s="9" t="s">
        <v>40</v>
      </c>
      <c r="F71" s="9" t="s">
        <v>119</v>
      </c>
      <c r="G71" s="9" t="s">
        <v>50</v>
      </c>
      <c r="H71" s="11">
        <v>62</v>
      </c>
      <c r="I71" s="11">
        <v>2</v>
      </c>
      <c r="J71" s="12">
        <v>124</v>
      </c>
      <c r="K71" s="9" t="s">
        <v>46</v>
      </c>
      <c r="L71" s="9" t="s">
        <v>18</v>
      </c>
      <c r="M71" s="9" t="s">
        <v>19</v>
      </c>
    </row>
    <row r="72" spans="1:13" ht="18" customHeight="1" x14ac:dyDescent="0.3">
      <c r="A72" s="9" t="s">
        <v>160</v>
      </c>
      <c r="B72" s="10" t="s">
        <v>260</v>
      </c>
      <c r="C72" s="10" t="s">
        <v>254</v>
      </c>
      <c r="D72" s="10" t="s">
        <v>198</v>
      </c>
      <c r="E72" s="9" t="s">
        <v>118</v>
      </c>
      <c r="F72" s="9" t="s">
        <v>53</v>
      </c>
      <c r="G72" s="9" t="s">
        <v>23</v>
      </c>
      <c r="H72" s="11">
        <v>43</v>
      </c>
      <c r="I72" s="11">
        <v>1</v>
      </c>
      <c r="J72" s="12">
        <v>43</v>
      </c>
      <c r="K72" s="9" t="s">
        <v>24</v>
      </c>
      <c r="L72" s="9" t="s">
        <v>25</v>
      </c>
      <c r="M72" s="9" t="s">
        <v>38</v>
      </c>
    </row>
    <row r="73" spans="1:13" ht="18" customHeight="1" x14ac:dyDescent="0.3">
      <c r="A73" s="9" t="s">
        <v>161</v>
      </c>
      <c r="B73" s="10" t="s">
        <v>296</v>
      </c>
      <c r="C73" s="10" t="s">
        <v>198</v>
      </c>
      <c r="D73" s="10" t="s">
        <v>198</v>
      </c>
      <c r="E73" s="9" t="s">
        <v>148</v>
      </c>
      <c r="F73" s="9" t="s">
        <v>119</v>
      </c>
      <c r="G73" s="9" t="s">
        <v>23</v>
      </c>
      <c r="H73" s="11">
        <v>62</v>
      </c>
      <c r="I73" s="11">
        <v>4</v>
      </c>
      <c r="J73" s="12">
        <v>248</v>
      </c>
      <c r="K73" s="9" t="s">
        <v>46</v>
      </c>
      <c r="L73" s="9" t="s">
        <v>29</v>
      </c>
      <c r="M73" s="9" t="s">
        <v>38</v>
      </c>
    </row>
    <row r="74" spans="1:13" ht="18" customHeight="1" x14ac:dyDescent="0.3">
      <c r="A74" s="9" t="s">
        <v>162</v>
      </c>
      <c r="B74" s="10" t="s">
        <v>297</v>
      </c>
      <c r="C74" s="10" t="s">
        <v>198</v>
      </c>
      <c r="D74" s="10" t="s">
        <v>217</v>
      </c>
      <c r="E74" s="9" t="s">
        <v>87</v>
      </c>
      <c r="F74" s="9" t="s">
        <v>64</v>
      </c>
      <c r="G74" s="9" t="s">
        <v>16</v>
      </c>
      <c r="H74" s="11">
        <v>95</v>
      </c>
      <c r="I74" s="11">
        <v>2</v>
      </c>
      <c r="J74" s="12">
        <v>190</v>
      </c>
      <c r="K74" s="9" t="s">
        <v>33</v>
      </c>
      <c r="L74" s="9" t="s">
        <v>18</v>
      </c>
      <c r="M74" s="9" t="s">
        <v>34</v>
      </c>
    </row>
    <row r="75" spans="1:13" ht="18" customHeight="1" x14ac:dyDescent="0.3">
      <c r="A75" s="9" t="s">
        <v>163</v>
      </c>
      <c r="B75" s="10" t="s">
        <v>298</v>
      </c>
      <c r="C75" s="10" t="s">
        <v>299</v>
      </c>
      <c r="D75" s="10" t="s">
        <v>198</v>
      </c>
      <c r="E75" s="9" t="s">
        <v>85</v>
      </c>
      <c r="F75" s="9" t="s">
        <v>49</v>
      </c>
      <c r="G75" s="9" t="s">
        <v>45</v>
      </c>
      <c r="H75" s="11">
        <v>36</v>
      </c>
      <c r="I75" s="11">
        <v>4</v>
      </c>
      <c r="J75" s="12">
        <v>144</v>
      </c>
      <c r="K75" s="9" t="s">
        <v>17</v>
      </c>
      <c r="L75" s="9" t="s">
        <v>25</v>
      </c>
      <c r="M75" s="9" t="s">
        <v>61</v>
      </c>
    </row>
    <row r="76" spans="1:13" ht="18" customHeight="1" x14ac:dyDescent="0.3">
      <c r="A76" s="9" t="s">
        <v>164</v>
      </c>
      <c r="B76" s="10" t="s">
        <v>300</v>
      </c>
      <c r="C76" s="10" t="s">
        <v>198</v>
      </c>
      <c r="D76" s="10" t="s">
        <v>198</v>
      </c>
      <c r="E76" s="9" t="s">
        <v>43</v>
      </c>
      <c r="F76" s="9" t="s">
        <v>67</v>
      </c>
      <c r="G76" s="9" t="s">
        <v>23</v>
      </c>
      <c r="H76" s="11">
        <v>73</v>
      </c>
      <c r="I76" s="11">
        <v>5</v>
      </c>
      <c r="J76" s="12">
        <v>365</v>
      </c>
      <c r="K76" s="9" t="s">
        <v>17</v>
      </c>
      <c r="L76" s="9" t="s">
        <v>29</v>
      </c>
      <c r="M76" s="9" t="s">
        <v>19</v>
      </c>
    </row>
    <row r="77" spans="1:13" ht="18" customHeight="1" x14ac:dyDescent="0.3">
      <c r="A77" s="9" t="s">
        <v>165</v>
      </c>
      <c r="B77" s="10" t="s">
        <v>301</v>
      </c>
      <c r="C77" s="10" t="s">
        <v>302</v>
      </c>
      <c r="D77" s="10" t="s">
        <v>198</v>
      </c>
      <c r="E77" s="9" t="s">
        <v>63</v>
      </c>
      <c r="F77" s="9" t="s">
        <v>53</v>
      </c>
      <c r="G77" s="9" t="s">
        <v>16</v>
      </c>
      <c r="H77" s="11">
        <v>43</v>
      </c>
      <c r="I77" s="11">
        <v>4</v>
      </c>
      <c r="J77" s="12">
        <v>172</v>
      </c>
      <c r="K77" s="9" t="s">
        <v>46</v>
      </c>
      <c r="L77" s="9" t="s">
        <v>25</v>
      </c>
      <c r="M77" s="9" t="s">
        <v>19</v>
      </c>
    </row>
    <row r="78" spans="1:13" ht="18" customHeight="1" x14ac:dyDescent="0.3">
      <c r="A78" s="9" t="s">
        <v>166</v>
      </c>
      <c r="B78" s="10" t="s">
        <v>208</v>
      </c>
      <c r="C78" s="10" t="s">
        <v>303</v>
      </c>
      <c r="D78" s="10" t="s">
        <v>198</v>
      </c>
      <c r="E78" s="9" t="s">
        <v>150</v>
      </c>
      <c r="F78" s="9" t="s">
        <v>111</v>
      </c>
      <c r="G78" s="9" t="s">
        <v>50</v>
      </c>
      <c r="H78" s="11">
        <v>214</v>
      </c>
      <c r="I78" s="11">
        <v>5</v>
      </c>
      <c r="J78" s="12">
        <v>1070</v>
      </c>
      <c r="K78" s="9" t="s">
        <v>46</v>
      </c>
      <c r="L78" s="9" t="s">
        <v>25</v>
      </c>
      <c r="M78" s="9" t="s">
        <v>34</v>
      </c>
    </row>
    <row r="79" spans="1:13" ht="18" customHeight="1" x14ac:dyDescent="0.3">
      <c r="A79" s="9" t="s">
        <v>167</v>
      </c>
      <c r="B79" s="10" t="s">
        <v>304</v>
      </c>
      <c r="C79" s="10" t="s">
        <v>198</v>
      </c>
      <c r="D79" s="10" t="s">
        <v>305</v>
      </c>
      <c r="E79" s="9" t="s">
        <v>152</v>
      </c>
      <c r="F79" s="9" t="s">
        <v>90</v>
      </c>
      <c r="G79" s="9" t="s">
        <v>45</v>
      </c>
      <c r="H79" s="11">
        <v>42</v>
      </c>
      <c r="I79" s="11">
        <v>2</v>
      </c>
      <c r="J79" s="12">
        <v>84</v>
      </c>
      <c r="K79" s="9" t="s">
        <v>17</v>
      </c>
      <c r="L79" s="9" t="s">
        <v>18</v>
      </c>
      <c r="M79" s="9" t="s">
        <v>34</v>
      </c>
    </row>
    <row r="80" spans="1:13" ht="18" customHeight="1" x14ac:dyDescent="0.3">
      <c r="A80" s="9" t="s">
        <v>168</v>
      </c>
      <c r="B80" s="10" t="s">
        <v>211</v>
      </c>
      <c r="C80" s="10" t="s">
        <v>198</v>
      </c>
      <c r="D80" s="10" t="s">
        <v>198</v>
      </c>
      <c r="E80" s="9" t="s">
        <v>152</v>
      </c>
      <c r="F80" s="9" t="s">
        <v>15</v>
      </c>
      <c r="G80" s="9" t="s">
        <v>16</v>
      </c>
      <c r="H80" s="11">
        <v>46</v>
      </c>
      <c r="I80" s="11">
        <v>1</v>
      </c>
      <c r="J80" s="12">
        <v>46</v>
      </c>
      <c r="K80" s="9" t="s">
        <v>41</v>
      </c>
      <c r="L80" s="9" t="s">
        <v>29</v>
      </c>
      <c r="M80" s="9" t="s">
        <v>34</v>
      </c>
    </row>
    <row r="81" spans="1:13" ht="18" customHeight="1" x14ac:dyDescent="0.3">
      <c r="A81" s="9" t="s">
        <v>169</v>
      </c>
      <c r="B81" s="10" t="s">
        <v>306</v>
      </c>
      <c r="C81" s="10" t="s">
        <v>268</v>
      </c>
      <c r="D81" s="10" t="s">
        <v>198</v>
      </c>
      <c r="E81" s="9" t="s">
        <v>108</v>
      </c>
      <c r="F81" s="9" t="s">
        <v>22</v>
      </c>
      <c r="G81" s="9" t="s">
        <v>23</v>
      </c>
      <c r="H81" s="11">
        <v>95</v>
      </c>
      <c r="I81" s="11">
        <v>4</v>
      </c>
      <c r="J81" s="12">
        <v>380</v>
      </c>
      <c r="K81" s="9" t="s">
        <v>24</v>
      </c>
      <c r="L81" s="9" t="s">
        <v>25</v>
      </c>
      <c r="M81" s="9" t="s">
        <v>34</v>
      </c>
    </row>
    <row r="82" spans="1:13" ht="18" customHeight="1" x14ac:dyDescent="0.3">
      <c r="A82" s="9" t="s">
        <v>170</v>
      </c>
      <c r="B82" s="10" t="s">
        <v>231</v>
      </c>
      <c r="C82" s="10" t="s">
        <v>198</v>
      </c>
      <c r="D82" s="10" t="s">
        <v>198</v>
      </c>
      <c r="E82" s="9" t="s">
        <v>121</v>
      </c>
      <c r="F82" s="9" t="s">
        <v>109</v>
      </c>
      <c r="G82" s="9" t="s">
        <v>50</v>
      </c>
      <c r="H82" s="11">
        <v>174</v>
      </c>
      <c r="I82" s="11">
        <v>2</v>
      </c>
      <c r="J82" s="12">
        <v>348</v>
      </c>
      <c r="K82" s="9" t="s">
        <v>33</v>
      </c>
      <c r="L82" s="9" t="s">
        <v>29</v>
      </c>
      <c r="M82" s="9" t="s">
        <v>34</v>
      </c>
    </row>
    <row r="83" spans="1:13" ht="18" customHeight="1" x14ac:dyDescent="0.3">
      <c r="A83" s="9" t="s">
        <v>171</v>
      </c>
      <c r="B83" s="10" t="s">
        <v>241</v>
      </c>
      <c r="C83" s="10" t="s">
        <v>198</v>
      </c>
      <c r="D83" s="10" t="s">
        <v>307</v>
      </c>
      <c r="E83" s="9" t="s">
        <v>57</v>
      </c>
      <c r="F83" s="9" t="s">
        <v>69</v>
      </c>
      <c r="G83" s="9" t="s">
        <v>16</v>
      </c>
      <c r="H83" s="11">
        <v>27</v>
      </c>
      <c r="I83" s="11">
        <v>5</v>
      </c>
      <c r="J83" s="12">
        <v>135</v>
      </c>
      <c r="K83" s="9" t="s">
        <v>24</v>
      </c>
      <c r="L83" s="9" t="s">
        <v>18</v>
      </c>
      <c r="M83" s="9" t="s">
        <v>38</v>
      </c>
    </row>
    <row r="84" spans="1:13" ht="18" customHeight="1" x14ac:dyDescent="0.3">
      <c r="A84" s="9" t="s">
        <v>172</v>
      </c>
      <c r="B84" s="10" t="s">
        <v>308</v>
      </c>
      <c r="C84" s="10" t="s">
        <v>309</v>
      </c>
      <c r="D84" s="10" t="s">
        <v>198</v>
      </c>
      <c r="E84" s="9" t="s">
        <v>14</v>
      </c>
      <c r="F84" s="9" t="s">
        <v>69</v>
      </c>
      <c r="G84" s="9" t="s">
        <v>28</v>
      </c>
      <c r="H84" s="11">
        <v>27</v>
      </c>
      <c r="I84" s="11">
        <v>4</v>
      </c>
      <c r="J84" s="12">
        <v>108</v>
      </c>
      <c r="K84" s="9" t="s">
        <v>33</v>
      </c>
      <c r="L84" s="9" t="s">
        <v>25</v>
      </c>
      <c r="M84" s="9" t="s">
        <v>30</v>
      </c>
    </row>
    <row r="85" spans="1:13" ht="18" customHeight="1" x14ac:dyDescent="0.3">
      <c r="A85" s="9" t="s">
        <v>173</v>
      </c>
      <c r="B85" s="10" t="s">
        <v>246</v>
      </c>
      <c r="C85" s="10" t="s">
        <v>198</v>
      </c>
      <c r="D85" s="10" t="s">
        <v>198</v>
      </c>
      <c r="E85" s="9" t="s">
        <v>174</v>
      </c>
      <c r="F85" s="9" t="s">
        <v>92</v>
      </c>
      <c r="G85" s="9" t="s">
        <v>28</v>
      </c>
      <c r="H85" s="11">
        <v>65</v>
      </c>
      <c r="I85" s="11">
        <v>2</v>
      </c>
      <c r="J85" s="12">
        <v>130</v>
      </c>
      <c r="K85" s="9" t="s">
        <v>33</v>
      </c>
      <c r="L85" s="9" t="s">
        <v>29</v>
      </c>
      <c r="M85" s="9" t="s">
        <v>19</v>
      </c>
    </row>
    <row r="86" spans="1:13" ht="18" customHeight="1" x14ac:dyDescent="0.3">
      <c r="A86" s="9" t="s">
        <v>175</v>
      </c>
      <c r="B86" s="10" t="s">
        <v>296</v>
      </c>
      <c r="C86" s="10" t="s">
        <v>198</v>
      </c>
      <c r="D86" s="10" t="s">
        <v>198</v>
      </c>
      <c r="E86" s="9" t="s">
        <v>60</v>
      </c>
      <c r="F86" s="9" t="s">
        <v>53</v>
      </c>
      <c r="G86" s="9" t="s">
        <v>23</v>
      </c>
      <c r="H86" s="11">
        <v>43</v>
      </c>
      <c r="I86" s="11">
        <v>5</v>
      </c>
      <c r="J86" s="12">
        <v>215</v>
      </c>
      <c r="K86" s="9" t="s">
        <v>46</v>
      </c>
      <c r="L86" s="9" t="s">
        <v>29</v>
      </c>
      <c r="M86" s="9" t="s">
        <v>19</v>
      </c>
    </row>
    <row r="87" spans="1:13" ht="18" customHeight="1" x14ac:dyDescent="0.3">
      <c r="A87" s="9" t="s">
        <v>176</v>
      </c>
      <c r="B87" s="10" t="s">
        <v>310</v>
      </c>
      <c r="C87" s="10" t="s">
        <v>198</v>
      </c>
      <c r="D87" s="10" t="s">
        <v>198</v>
      </c>
      <c r="E87" s="9" t="s">
        <v>97</v>
      </c>
      <c r="F87" s="9" t="s">
        <v>111</v>
      </c>
      <c r="G87" s="9" t="s">
        <v>50</v>
      </c>
      <c r="H87" s="11">
        <v>210</v>
      </c>
      <c r="I87" s="11">
        <v>1</v>
      </c>
      <c r="J87" s="12">
        <v>210</v>
      </c>
      <c r="K87" s="9" t="s">
        <v>33</v>
      </c>
      <c r="L87" s="9" t="s">
        <v>29</v>
      </c>
      <c r="M87" s="9" t="s">
        <v>34</v>
      </c>
    </row>
    <row r="88" spans="1:13" ht="18" customHeight="1" x14ac:dyDescent="0.3">
      <c r="A88" s="9" t="s">
        <v>177</v>
      </c>
      <c r="B88" s="10" t="s">
        <v>286</v>
      </c>
      <c r="C88" s="10" t="s">
        <v>198</v>
      </c>
      <c r="D88" s="10" t="s">
        <v>198</v>
      </c>
      <c r="E88" s="9" t="s">
        <v>178</v>
      </c>
      <c r="F88" s="9" t="s">
        <v>49</v>
      </c>
      <c r="G88" s="9" t="s">
        <v>28</v>
      </c>
      <c r="H88" s="11">
        <v>37</v>
      </c>
      <c r="I88" s="11">
        <v>3</v>
      </c>
      <c r="J88" s="12">
        <v>111</v>
      </c>
      <c r="K88" s="9" t="s">
        <v>24</v>
      </c>
      <c r="L88" s="9" t="s">
        <v>29</v>
      </c>
      <c r="M88" s="9" t="s">
        <v>34</v>
      </c>
    </row>
    <row r="89" spans="1:13" ht="18" customHeight="1" x14ac:dyDescent="0.3">
      <c r="A89" s="9" t="s">
        <v>179</v>
      </c>
      <c r="B89" s="10" t="s">
        <v>216</v>
      </c>
      <c r="C89" s="10" t="s">
        <v>198</v>
      </c>
      <c r="D89" s="10" t="s">
        <v>198</v>
      </c>
      <c r="E89" s="9" t="s">
        <v>97</v>
      </c>
      <c r="F89" s="9" t="s">
        <v>81</v>
      </c>
      <c r="G89" s="9" t="s">
        <v>28</v>
      </c>
      <c r="H89" s="11">
        <v>788</v>
      </c>
      <c r="I89" s="11">
        <v>4</v>
      </c>
      <c r="J89" s="12">
        <v>3152</v>
      </c>
      <c r="K89" s="9" t="s">
        <v>46</v>
      </c>
      <c r="L89" s="9" t="s">
        <v>29</v>
      </c>
      <c r="M89" s="9" t="s">
        <v>38</v>
      </c>
    </row>
    <row r="90" spans="1:13" ht="18" customHeight="1" x14ac:dyDescent="0.3">
      <c r="A90" s="9" t="s">
        <v>180</v>
      </c>
      <c r="B90" s="10" t="s">
        <v>311</v>
      </c>
      <c r="C90" s="10" t="s">
        <v>198</v>
      </c>
      <c r="D90" s="10" t="s">
        <v>198</v>
      </c>
      <c r="E90" s="9" t="s">
        <v>97</v>
      </c>
      <c r="F90" s="9" t="s">
        <v>111</v>
      </c>
      <c r="G90" s="9" t="s">
        <v>50</v>
      </c>
      <c r="H90" s="11">
        <v>217</v>
      </c>
      <c r="I90" s="11">
        <v>5</v>
      </c>
      <c r="J90" s="12">
        <v>1085</v>
      </c>
      <c r="K90" s="9" t="s">
        <v>46</v>
      </c>
      <c r="L90" s="9" t="s">
        <v>29</v>
      </c>
      <c r="M90" s="9" t="s">
        <v>61</v>
      </c>
    </row>
    <row r="91" spans="1:13" ht="18" customHeight="1" x14ac:dyDescent="0.3">
      <c r="A91" s="9" t="s">
        <v>181</v>
      </c>
      <c r="B91" s="10" t="s">
        <v>298</v>
      </c>
      <c r="C91" s="10" t="s">
        <v>198</v>
      </c>
      <c r="D91" s="10" t="s">
        <v>198</v>
      </c>
      <c r="E91" s="9" t="s">
        <v>97</v>
      </c>
      <c r="F91" s="9" t="s">
        <v>55</v>
      </c>
      <c r="G91" s="9" t="s">
        <v>50</v>
      </c>
      <c r="H91" s="11">
        <v>138</v>
      </c>
      <c r="I91" s="11">
        <v>4</v>
      </c>
      <c r="J91" s="12">
        <v>552</v>
      </c>
      <c r="K91" s="9" t="s">
        <v>24</v>
      </c>
      <c r="L91" s="9" t="s">
        <v>29</v>
      </c>
      <c r="M91" s="9" t="s">
        <v>61</v>
      </c>
    </row>
    <row r="92" spans="1:13" ht="18" customHeight="1" x14ac:dyDescent="0.3">
      <c r="A92" s="9" t="s">
        <v>182</v>
      </c>
      <c r="B92" s="10" t="s">
        <v>312</v>
      </c>
      <c r="C92" s="10" t="s">
        <v>313</v>
      </c>
      <c r="D92" s="10" t="s">
        <v>198</v>
      </c>
      <c r="E92" s="9" t="s">
        <v>183</v>
      </c>
      <c r="F92" s="9" t="s">
        <v>81</v>
      </c>
      <c r="G92" s="9" t="s">
        <v>45</v>
      </c>
      <c r="H92" s="11">
        <v>803</v>
      </c>
      <c r="I92" s="11">
        <v>2</v>
      </c>
      <c r="J92" s="12">
        <v>1606</v>
      </c>
      <c r="K92" s="9" t="s">
        <v>17</v>
      </c>
      <c r="L92" s="9" t="s">
        <v>25</v>
      </c>
      <c r="M92" s="9" t="s">
        <v>61</v>
      </c>
    </row>
    <row r="93" spans="1:13" ht="18" customHeight="1" x14ac:dyDescent="0.3">
      <c r="A93" s="9" t="s">
        <v>184</v>
      </c>
      <c r="B93" s="10" t="s">
        <v>314</v>
      </c>
      <c r="C93" s="10" t="s">
        <v>198</v>
      </c>
      <c r="D93" s="10" t="s">
        <v>218</v>
      </c>
      <c r="E93" s="9" t="s">
        <v>52</v>
      </c>
      <c r="F93" s="9" t="s">
        <v>58</v>
      </c>
      <c r="G93" s="9" t="s">
        <v>16</v>
      </c>
      <c r="H93" s="11">
        <v>248</v>
      </c>
      <c r="I93" s="11">
        <v>5</v>
      </c>
      <c r="J93" s="12">
        <v>1240</v>
      </c>
      <c r="K93" s="9" t="s">
        <v>33</v>
      </c>
      <c r="L93" s="9" t="s">
        <v>18</v>
      </c>
      <c r="M93" s="9" t="s">
        <v>34</v>
      </c>
    </row>
    <row r="94" spans="1:13" ht="18" customHeight="1" x14ac:dyDescent="0.3">
      <c r="A94" s="9" t="s">
        <v>185</v>
      </c>
      <c r="B94" s="10" t="s">
        <v>272</v>
      </c>
      <c r="C94" s="10" t="s">
        <v>314</v>
      </c>
      <c r="D94" s="10" t="s">
        <v>198</v>
      </c>
      <c r="E94" s="9" t="s">
        <v>186</v>
      </c>
      <c r="F94" s="9" t="s">
        <v>111</v>
      </c>
      <c r="G94" s="9" t="s">
        <v>23</v>
      </c>
      <c r="H94" s="11">
        <v>210</v>
      </c>
      <c r="I94" s="11">
        <v>3</v>
      </c>
      <c r="J94" s="12">
        <v>630</v>
      </c>
      <c r="K94" s="9" t="s">
        <v>17</v>
      </c>
      <c r="L94" s="9" t="s">
        <v>25</v>
      </c>
      <c r="M94" s="9" t="s">
        <v>19</v>
      </c>
    </row>
    <row r="95" spans="1:13" ht="18" customHeight="1" x14ac:dyDescent="0.3">
      <c r="A95" s="9" t="s">
        <v>187</v>
      </c>
      <c r="B95" s="10" t="s">
        <v>315</v>
      </c>
      <c r="C95" s="10" t="s">
        <v>198</v>
      </c>
      <c r="D95" s="10" t="s">
        <v>316</v>
      </c>
      <c r="E95" s="9" t="s">
        <v>52</v>
      </c>
      <c r="F95" s="9" t="s">
        <v>119</v>
      </c>
      <c r="G95" s="9" t="s">
        <v>16</v>
      </c>
      <c r="H95" s="11">
        <v>62</v>
      </c>
      <c r="I95" s="11">
        <v>2</v>
      </c>
      <c r="J95" s="12">
        <v>124</v>
      </c>
      <c r="K95" s="9" t="s">
        <v>24</v>
      </c>
      <c r="L95" s="9" t="s">
        <v>18</v>
      </c>
      <c r="M95" s="9" t="s">
        <v>61</v>
      </c>
    </row>
    <row r="96" spans="1:13" ht="18" customHeight="1" x14ac:dyDescent="0.3">
      <c r="A96" s="9" t="s">
        <v>188</v>
      </c>
      <c r="B96" s="10" t="s">
        <v>317</v>
      </c>
      <c r="C96" s="10" t="s">
        <v>198</v>
      </c>
      <c r="D96" s="10" t="s">
        <v>318</v>
      </c>
      <c r="E96" s="9" t="s">
        <v>178</v>
      </c>
      <c r="F96" s="9" t="s">
        <v>104</v>
      </c>
      <c r="G96" s="9" t="s">
        <v>28</v>
      </c>
      <c r="H96" s="11">
        <v>11</v>
      </c>
      <c r="I96" s="11">
        <v>5</v>
      </c>
      <c r="J96" s="12">
        <v>55</v>
      </c>
      <c r="K96" s="9" t="s">
        <v>46</v>
      </c>
      <c r="L96" s="9" t="s">
        <v>18</v>
      </c>
      <c r="M96" s="9" t="s">
        <v>38</v>
      </c>
    </row>
    <row r="97" spans="1:13" ht="18" customHeight="1" x14ac:dyDescent="0.3">
      <c r="A97" s="9" t="s">
        <v>189</v>
      </c>
      <c r="B97" s="10" t="s">
        <v>319</v>
      </c>
      <c r="C97" s="10" t="s">
        <v>320</v>
      </c>
      <c r="D97" s="10" t="s">
        <v>198</v>
      </c>
      <c r="E97" s="9" t="s">
        <v>139</v>
      </c>
      <c r="F97" s="9" t="s">
        <v>73</v>
      </c>
      <c r="G97" s="9" t="s">
        <v>16</v>
      </c>
      <c r="H97" s="11">
        <v>21</v>
      </c>
      <c r="I97" s="11">
        <v>2</v>
      </c>
      <c r="J97" s="12">
        <v>42</v>
      </c>
      <c r="K97" s="9" t="s">
        <v>41</v>
      </c>
      <c r="L97" s="9" t="s">
        <v>25</v>
      </c>
      <c r="M97" s="9" t="s">
        <v>34</v>
      </c>
    </row>
    <row r="98" spans="1:13" ht="18" customHeight="1" x14ac:dyDescent="0.3">
      <c r="A98" s="9" t="s">
        <v>190</v>
      </c>
      <c r="B98" s="10" t="s">
        <v>261</v>
      </c>
      <c r="C98" s="10" t="s">
        <v>247</v>
      </c>
      <c r="D98" s="10" t="s">
        <v>198</v>
      </c>
      <c r="E98" s="9" t="s">
        <v>63</v>
      </c>
      <c r="F98" s="9" t="s">
        <v>22</v>
      </c>
      <c r="G98" s="9" t="s">
        <v>50</v>
      </c>
      <c r="H98" s="11">
        <v>95</v>
      </c>
      <c r="I98" s="11">
        <v>5</v>
      </c>
      <c r="J98" s="12">
        <v>475</v>
      </c>
      <c r="K98" s="9" t="s">
        <v>41</v>
      </c>
      <c r="L98" s="9" t="s">
        <v>25</v>
      </c>
      <c r="M98" s="9" t="s">
        <v>38</v>
      </c>
    </row>
    <row r="99" spans="1:13" ht="18" customHeight="1" x14ac:dyDescent="0.3">
      <c r="A99" s="9" t="s">
        <v>191</v>
      </c>
      <c r="B99" s="10" t="s">
        <v>321</v>
      </c>
      <c r="C99" s="10" t="s">
        <v>256</v>
      </c>
      <c r="D99" s="10" t="s">
        <v>198</v>
      </c>
      <c r="E99" s="9" t="s">
        <v>32</v>
      </c>
      <c r="F99" s="9" t="s">
        <v>111</v>
      </c>
      <c r="G99" s="9" t="s">
        <v>28</v>
      </c>
      <c r="H99" s="11">
        <v>215</v>
      </c>
      <c r="I99" s="11">
        <v>2</v>
      </c>
      <c r="J99" s="12">
        <v>430</v>
      </c>
      <c r="K99" s="9" t="s">
        <v>33</v>
      </c>
      <c r="L99" s="9" t="s">
        <v>25</v>
      </c>
      <c r="M99" s="9" t="s">
        <v>38</v>
      </c>
    </row>
    <row r="100" spans="1:13" ht="18" customHeight="1" x14ac:dyDescent="0.3">
      <c r="A100" s="9" t="s">
        <v>192</v>
      </c>
      <c r="B100" s="10" t="s">
        <v>298</v>
      </c>
      <c r="C100" s="10" t="s">
        <v>198</v>
      </c>
      <c r="D100" s="10" t="s">
        <v>299</v>
      </c>
      <c r="E100" s="9" t="s">
        <v>193</v>
      </c>
      <c r="F100" s="9" t="s">
        <v>53</v>
      </c>
      <c r="G100" s="9" t="s">
        <v>50</v>
      </c>
      <c r="H100" s="11">
        <v>43</v>
      </c>
      <c r="I100" s="11">
        <v>5</v>
      </c>
      <c r="J100" s="12">
        <v>215</v>
      </c>
      <c r="K100" s="9" t="s">
        <v>24</v>
      </c>
      <c r="L100" s="9" t="s">
        <v>18</v>
      </c>
      <c r="M100" s="9" t="s">
        <v>34</v>
      </c>
    </row>
    <row r="101" spans="1:13" ht="18" customHeight="1" x14ac:dyDescent="0.3">
      <c r="A101" s="9" t="s">
        <v>194</v>
      </c>
      <c r="B101" s="10" t="s">
        <v>322</v>
      </c>
      <c r="C101" s="10" t="s">
        <v>198</v>
      </c>
      <c r="D101" s="10" t="s">
        <v>198</v>
      </c>
      <c r="E101" s="9" t="s">
        <v>40</v>
      </c>
      <c r="F101" s="9" t="s">
        <v>90</v>
      </c>
      <c r="G101" s="9" t="s">
        <v>50</v>
      </c>
      <c r="H101" s="11">
        <v>42</v>
      </c>
      <c r="I101" s="11">
        <v>4</v>
      </c>
      <c r="J101" s="12">
        <v>168</v>
      </c>
      <c r="K101" s="9" t="s">
        <v>46</v>
      </c>
      <c r="L101" s="9" t="s">
        <v>29</v>
      </c>
      <c r="M101" s="9" t="s">
        <v>19</v>
      </c>
    </row>
    <row r="102" spans="1:13" ht="14.25" customHeight="1" x14ac:dyDescent="0.3">
      <c r="A102" s="13"/>
      <c r="B102" s="14"/>
      <c r="C102" s="14"/>
      <c r="D102" s="14"/>
      <c r="E102" s="13"/>
      <c r="F102" s="13"/>
      <c r="G102" s="13"/>
      <c r="H102" s="15"/>
      <c r="I102" s="15"/>
      <c r="J102" s="16"/>
      <c r="K102" s="13"/>
      <c r="L102" s="13"/>
      <c r="M102" s="13"/>
    </row>
    <row r="103" spans="1:13" ht="14.25" customHeight="1" x14ac:dyDescent="0.3">
      <c r="A103" s="13"/>
      <c r="B103" s="14"/>
      <c r="C103" s="14"/>
      <c r="D103" s="14"/>
      <c r="E103" s="13"/>
      <c r="F103" s="13"/>
      <c r="G103" s="13"/>
      <c r="H103" s="15"/>
      <c r="I103" s="15"/>
      <c r="J103" s="16"/>
      <c r="K103" s="13"/>
      <c r="L103" s="13"/>
      <c r="M103" s="13"/>
    </row>
    <row r="104" spans="1:13" ht="14.25" customHeight="1" x14ac:dyDescent="0.3">
      <c r="A104" s="13"/>
      <c r="B104" s="14"/>
      <c r="C104" s="14"/>
      <c r="D104" s="14"/>
      <c r="E104" s="13"/>
      <c r="F104" s="13"/>
      <c r="G104" s="13"/>
      <c r="H104" s="15"/>
      <c r="I104" s="15"/>
      <c r="J104" s="16"/>
      <c r="K104" s="13"/>
      <c r="L104" s="13"/>
      <c r="M104" s="13"/>
    </row>
    <row r="105" spans="1:13" ht="14.25" customHeight="1" x14ac:dyDescent="0.3">
      <c r="A105" s="13"/>
      <c r="B105" s="14"/>
      <c r="C105" s="14"/>
      <c r="D105" s="14"/>
      <c r="E105" s="13"/>
      <c r="F105" s="13"/>
      <c r="G105" s="13"/>
      <c r="H105" s="15"/>
      <c r="I105" s="15"/>
      <c r="J105" s="16"/>
      <c r="K105" s="13"/>
      <c r="L105" s="13"/>
      <c r="M105" s="13"/>
    </row>
    <row r="106" spans="1:13" ht="14.25" customHeight="1" x14ac:dyDescent="0.3">
      <c r="A106" s="13"/>
      <c r="B106" s="14"/>
      <c r="C106" s="14"/>
      <c r="D106" s="14"/>
      <c r="E106" s="13"/>
      <c r="F106" s="13"/>
      <c r="G106" s="13"/>
      <c r="H106" s="15"/>
      <c r="I106" s="15"/>
      <c r="J106" s="16"/>
      <c r="K106" s="13"/>
      <c r="L106" s="13"/>
      <c r="M106" s="13"/>
    </row>
    <row r="107" spans="1:13" ht="14.25" customHeight="1" x14ac:dyDescent="0.3">
      <c r="A107" s="13"/>
      <c r="B107" s="14"/>
      <c r="C107" s="14"/>
      <c r="D107" s="14"/>
      <c r="E107" s="13"/>
      <c r="F107" s="13"/>
      <c r="G107" s="13"/>
      <c r="H107" s="15"/>
      <c r="I107" s="15"/>
      <c r="J107" s="16"/>
      <c r="K107" s="13"/>
      <c r="L107" s="13"/>
      <c r="M107" s="13"/>
    </row>
    <row r="108" spans="1:13" ht="14.25" customHeight="1" x14ac:dyDescent="0.3">
      <c r="A108" s="13"/>
      <c r="B108" s="14"/>
      <c r="C108" s="14"/>
      <c r="D108" s="14"/>
      <c r="E108" s="13"/>
      <c r="F108" s="13"/>
      <c r="G108" s="13"/>
      <c r="H108" s="15"/>
      <c r="I108" s="15"/>
      <c r="J108" s="16"/>
      <c r="K108" s="13"/>
      <c r="L108" s="13"/>
      <c r="M108" s="13"/>
    </row>
    <row r="109" spans="1:13" ht="14.25" customHeight="1" x14ac:dyDescent="0.3">
      <c r="A109" s="13"/>
      <c r="B109" s="14"/>
      <c r="C109" s="14"/>
      <c r="D109" s="14"/>
      <c r="E109" s="13"/>
      <c r="F109" s="13"/>
      <c r="G109" s="13"/>
      <c r="H109" s="15"/>
      <c r="I109" s="15"/>
      <c r="J109" s="16"/>
      <c r="K109" s="13"/>
      <c r="L109" s="13"/>
      <c r="M109" s="13"/>
    </row>
    <row r="110" spans="1:13" ht="14.25" customHeight="1" x14ac:dyDescent="0.3">
      <c r="A110" s="13"/>
      <c r="B110" s="14"/>
      <c r="C110" s="14"/>
      <c r="D110" s="14"/>
      <c r="E110" s="13"/>
      <c r="F110" s="13"/>
      <c r="G110" s="13"/>
      <c r="H110" s="15"/>
      <c r="I110" s="15"/>
      <c r="J110" s="16"/>
      <c r="K110" s="13"/>
      <c r="L110" s="13"/>
      <c r="M110" s="13"/>
    </row>
    <row r="111" spans="1:13" ht="14.25" customHeight="1" x14ac:dyDescent="0.3">
      <c r="A111" s="13"/>
      <c r="B111" s="14"/>
      <c r="C111" s="14"/>
      <c r="D111" s="14"/>
      <c r="E111" s="13"/>
      <c r="F111" s="13"/>
      <c r="G111" s="13"/>
      <c r="H111" s="15"/>
      <c r="I111" s="15"/>
      <c r="J111" s="16"/>
      <c r="K111" s="13"/>
      <c r="L111" s="13"/>
      <c r="M111" s="13"/>
    </row>
    <row r="112" spans="1:13" ht="14.25" customHeight="1" x14ac:dyDescent="0.3">
      <c r="A112" s="13"/>
      <c r="B112" s="14"/>
      <c r="C112" s="14"/>
      <c r="D112" s="14"/>
      <c r="E112" s="13"/>
      <c r="F112" s="13"/>
      <c r="G112" s="13"/>
      <c r="H112" s="15"/>
      <c r="I112" s="15"/>
      <c r="J112" s="16"/>
      <c r="K112" s="13"/>
      <c r="L112" s="13"/>
      <c r="M112" s="13"/>
    </row>
    <row r="113" spans="1:13" ht="14.25" customHeight="1" x14ac:dyDescent="0.3">
      <c r="A113" s="13"/>
      <c r="B113" s="14"/>
      <c r="C113" s="14"/>
      <c r="D113" s="14"/>
      <c r="E113" s="13"/>
      <c r="F113" s="13"/>
      <c r="G113" s="13"/>
      <c r="H113" s="15"/>
      <c r="I113" s="15"/>
      <c r="J113" s="16"/>
      <c r="K113" s="13"/>
      <c r="L113" s="13"/>
      <c r="M113" s="13"/>
    </row>
    <row r="114" spans="1:13" ht="14.25" customHeight="1" x14ac:dyDescent="0.3">
      <c r="A114" s="13"/>
      <c r="B114" s="14"/>
      <c r="C114" s="14"/>
      <c r="D114" s="14"/>
      <c r="E114" s="13"/>
      <c r="F114" s="13"/>
      <c r="G114" s="13"/>
      <c r="H114" s="15"/>
      <c r="I114" s="15"/>
      <c r="J114" s="16"/>
      <c r="K114" s="13"/>
      <c r="L114" s="13"/>
      <c r="M114" s="13"/>
    </row>
    <row r="115" spans="1:13" ht="14.25" customHeight="1" x14ac:dyDescent="0.3">
      <c r="A115" s="13"/>
      <c r="B115" s="14"/>
      <c r="C115" s="14"/>
      <c r="D115" s="14"/>
      <c r="E115" s="13"/>
      <c r="F115" s="13"/>
      <c r="G115" s="13"/>
      <c r="H115" s="15"/>
      <c r="I115" s="15"/>
      <c r="J115" s="16"/>
      <c r="K115" s="13"/>
      <c r="L115" s="13"/>
      <c r="M115" s="13"/>
    </row>
    <row r="116" spans="1:13" ht="14.25" customHeight="1" x14ac:dyDescent="0.3">
      <c r="A116" s="13"/>
      <c r="B116" s="14"/>
      <c r="C116" s="14"/>
      <c r="D116" s="14"/>
      <c r="E116" s="13"/>
      <c r="F116" s="13"/>
      <c r="G116" s="13"/>
      <c r="H116" s="15"/>
      <c r="I116" s="15"/>
      <c r="J116" s="16"/>
      <c r="K116" s="13"/>
      <c r="L116" s="13"/>
      <c r="M116" s="13"/>
    </row>
    <row r="117" spans="1:13" ht="14.25" customHeight="1" x14ac:dyDescent="0.3">
      <c r="A117" s="13"/>
      <c r="B117" s="14"/>
      <c r="C117" s="14"/>
      <c r="D117" s="14"/>
      <c r="E117" s="13"/>
      <c r="F117" s="13"/>
      <c r="G117" s="13"/>
      <c r="H117" s="15"/>
      <c r="I117" s="15"/>
      <c r="J117" s="16"/>
      <c r="K117" s="13"/>
      <c r="L117" s="13"/>
      <c r="M117" s="13"/>
    </row>
    <row r="118" spans="1:13" ht="14.25" customHeight="1" x14ac:dyDescent="0.3">
      <c r="A118" s="13"/>
      <c r="B118" s="14"/>
      <c r="C118" s="14"/>
      <c r="D118" s="14"/>
      <c r="E118" s="13"/>
      <c r="F118" s="13"/>
      <c r="G118" s="13"/>
      <c r="H118" s="15"/>
      <c r="I118" s="15"/>
      <c r="J118" s="16"/>
      <c r="K118" s="13"/>
      <c r="L118" s="13"/>
      <c r="M118" s="13"/>
    </row>
    <row r="119" spans="1:13" ht="14.25" customHeight="1" x14ac:dyDescent="0.3">
      <c r="A119" s="13"/>
      <c r="B119" s="14"/>
      <c r="C119" s="14"/>
      <c r="D119" s="14"/>
      <c r="E119" s="13"/>
      <c r="F119" s="13"/>
      <c r="G119" s="13"/>
      <c r="H119" s="15"/>
      <c r="I119" s="15"/>
      <c r="J119" s="16"/>
      <c r="K119" s="13"/>
      <c r="L119" s="13"/>
      <c r="M119" s="13"/>
    </row>
    <row r="120" spans="1:13" ht="14.25" customHeight="1" x14ac:dyDescent="0.3">
      <c r="A120" s="13"/>
      <c r="B120" s="14"/>
      <c r="C120" s="14"/>
      <c r="D120" s="14"/>
      <c r="E120" s="13"/>
      <c r="F120" s="13"/>
      <c r="G120" s="13"/>
      <c r="H120" s="15"/>
      <c r="I120" s="15"/>
      <c r="J120" s="16"/>
      <c r="K120" s="13"/>
      <c r="L120" s="13"/>
      <c r="M120" s="13"/>
    </row>
    <row r="121" spans="1:13" ht="14.25" customHeight="1" x14ac:dyDescent="0.3">
      <c r="A121" s="13"/>
      <c r="B121" s="14"/>
      <c r="C121" s="14"/>
      <c r="D121" s="14"/>
      <c r="E121" s="13"/>
      <c r="F121" s="13"/>
      <c r="G121" s="13"/>
      <c r="H121" s="15"/>
      <c r="I121" s="15"/>
      <c r="J121" s="16"/>
      <c r="K121" s="13"/>
      <c r="L121" s="13"/>
      <c r="M121" s="13"/>
    </row>
    <row r="122" spans="1:13" ht="14.25" customHeight="1" x14ac:dyDescent="0.3">
      <c r="A122" s="13"/>
      <c r="B122" s="14"/>
      <c r="C122" s="14"/>
      <c r="D122" s="14"/>
      <c r="E122" s="13"/>
      <c r="F122" s="13"/>
      <c r="G122" s="13"/>
      <c r="H122" s="15"/>
      <c r="I122" s="15"/>
      <c r="J122" s="16"/>
      <c r="K122" s="13"/>
      <c r="L122" s="13"/>
      <c r="M122" s="13"/>
    </row>
    <row r="123" spans="1:13" ht="14.25" customHeight="1" x14ac:dyDescent="0.3">
      <c r="A123" s="13"/>
      <c r="B123" s="14"/>
      <c r="C123" s="14"/>
      <c r="D123" s="14"/>
      <c r="E123" s="13"/>
      <c r="F123" s="13"/>
      <c r="G123" s="13"/>
      <c r="H123" s="15"/>
      <c r="I123" s="15"/>
      <c r="J123" s="16"/>
      <c r="K123" s="13"/>
      <c r="L123" s="13"/>
      <c r="M123" s="13"/>
    </row>
    <row r="124" spans="1:13" ht="14.25" customHeight="1" x14ac:dyDescent="0.3">
      <c r="A124" s="13"/>
      <c r="B124" s="14"/>
      <c r="C124" s="14"/>
      <c r="D124" s="14"/>
      <c r="E124" s="13"/>
      <c r="F124" s="13"/>
      <c r="G124" s="13"/>
      <c r="H124" s="15"/>
      <c r="I124" s="15"/>
      <c r="J124" s="16"/>
      <c r="K124" s="13"/>
      <c r="L124" s="13"/>
      <c r="M124" s="13"/>
    </row>
    <row r="125" spans="1:13" ht="14.25" customHeight="1" x14ac:dyDescent="0.3">
      <c r="A125" s="13"/>
      <c r="B125" s="14"/>
      <c r="C125" s="14"/>
      <c r="D125" s="14"/>
      <c r="E125" s="13"/>
      <c r="F125" s="13"/>
      <c r="G125" s="13"/>
      <c r="H125" s="15"/>
      <c r="I125" s="15"/>
      <c r="J125" s="16"/>
      <c r="K125" s="13"/>
      <c r="L125" s="13"/>
      <c r="M125" s="13"/>
    </row>
    <row r="126" spans="1:13" ht="14.25" customHeight="1" x14ac:dyDescent="0.3">
      <c r="A126" s="13"/>
      <c r="B126" s="14"/>
      <c r="C126" s="14"/>
      <c r="D126" s="14"/>
      <c r="E126" s="13"/>
      <c r="F126" s="13"/>
      <c r="G126" s="13"/>
      <c r="H126" s="15"/>
      <c r="I126" s="15"/>
      <c r="J126" s="16"/>
      <c r="K126" s="13"/>
      <c r="L126" s="13"/>
      <c r="M126" s="13"/>
    </row>
    <row r="127" spans="1:13" ht="14.25" customHeight="1" x14ac:dyDescent="0.3">
      <c r="A127" s="13"/>
      <c r="B127" s="14"/>
      <c r="C127" s="14"/>
      <c r="D127" s="14"/>
      <c r="E127" s="13"/>
      <c r="F127" s="13"/>
      <c r="G127" s="13"/>
      <c r="H127" s="15"/>
      <c r="I127" s="15"/>
      <c r="J127" s="16"/>
      <c r="K127" s="13"/>
      <c r="L127" s="13"/>
      <c r="M127" s="13"/>
    </row>
    <row r="128" spans="1:13" ht="14.25" customHeight="1" x14ac:dyDescent="0.3">
      <c r="A128" s="13"/>
      <c r="B128" s="14"/>
      <c r="C128" s="14"/>
      <c r="D128" s="14"/>
      <c r="E128" s="13"/>
      <c r="F128" s="13"/>
      <c r="G128" s="13"/>
      <c r="H128" s="15"/>
      <c r="I128" s="15"/>
      <c r="J128" s="16"/>
      <c r="K128" s="13"/>
      <c r="L128" s="13"/>
      <c r="M128" s="13"/>
    </row>
    <row r="129" spans="1:13" ht="14.25" customHeight="1" x14ac:dyDescent="0.3">
      <c r="A129" s="13"/>
      <c r="B129" s="14"/>
      <c r="C129" s="14"/>
      <c r="D129" s="14"/>
      <c r="E129" s="13"/>
      <c r="F129" s="13"/>
      <c r="G129" s="13"/>
      <c r="H129" s="15"/>
      <c r="I129" s="15"/>
      <c r="J129" s="16"/>
      <c r="K129" s="13"/>
      <c r="L129" s="13"/>
      <c r="M129" s="13"/>
    </row>
    <row r="130" spans="1:13" ht="14.25" customHeight="1" x14ac:dyDescent="0.3">
      <c r="A130" s="13"/>
      <c r="B130" s="14"/>
      <c r="C130" s="14"/>
      <c r="D130" s="14"/>
      <c r="E130" s="13"/>
      <c r="F130" s="13"/>
      <c r="G130" s="13"/>
      <c r="H130" s="15"/>
      <c r="I130" s="15"/>
      <c r="J130" s="16"/>
      <c r="K130" s="13"/>
      <c r="L130" s="13"/>
      <c r="M130" s="13"/>
    </row>
    <row r="131" spans="1:13" ht="14.25" customHeight="1" x14ac:dyDescent="0.3">
      <c r="A131" s="13"/>
      <c r="B131" s="14"/>
      <c r="C131" s="14"/>
      <c r="D131" s="14"/>
      <c r="E131" s="13"/>
      <c r="F131" s="13"/>
      <c r="G131" s="13"/>
      <c r="H131" s="15"/>
      <c r="I131" s="15"/>
      <c r="J131" s="16"/>
      <c r="K131" s="13"/>
      <c r="L131" s="13"/>
      <c r="M131" s="13"/>
    </row>
    <row r="132" spans="1:13" ht="14.25" customHeight="1" x14ac:dyDescent="0.3">
      <c r="A132" s="13"/>
      <c r="B132" s="14"/>
      <c r="C132" s="14"/>
      <c r="D132" s="14"/>
      <c r="E132" s="13"/>
      <c r="F132" s="13"/>
      <c r="G132" s="13"/>
      <c r="H132" s="15"/>
      <c r="I132" s="15"/>
      <c r="J132" s="16"/>
      <c r="K132" s="13"/>
      <c r="L132" s="13"/>
      <c r="M132" s="13"/>
    </row>
    <row r="133" spans="1:13" ht="14.25" customHeight="1" x14ac:dyDescent="0.3">
      <c r="A133" s="13"/>
      <c r="B133" s="14"/>
      <c r="C133" s="14"/>
      <c r="D133" s="14"/>
      <c r="E133" s="13"/>
      <c r="F133" s="13"/>
      <c r="G133" s="13"/>
      <c r="H133" s="15"/>
      <c r="I133" s="15"/>
      <c r="J133" s="16"/>
      <c r="K133" s="13"/>
      <c r="L133" s="13"/>
      <c r="M133" s="13"/>
    </row>
    <row r="134" spans="1:13" ht="14.25" customHeight="1" x14ac:dyDescent="0.3">
      <c r="A134" s="13"/>
      <c r="B134" s="14"/>
      <c r="C134" s="14"/>
      <c r="D134" s="14"/>
      <c r="E134" s="13"/>
      <c r="F134" s="13"/>
      <c r="G134" s="13"/>
      <c r="H134" s="15"/>
      <c r="I134" s="15"/>
      <c r="J134" s="16"/>
      <c r="K134" s="13"/>
      <c r="L134" s="13"/>
      <c r="M134" s="13"/>
    </row>
    <row r="135" spans="1:13" ht="14.25" customHeight="1" x14ac:dyDescent="0.3">
      <c r="A135" s="13"/>
      <c r="B135" s="14"/>
      <c r="C135" s="14"/>
      <c r="D135" s="14"/>
      <c r="E135" s="13"/>
      <c r="F135" s="13"/>
      <c r="G135" s="13"/>
      <c r="H135" s="15"/>
      <c r="I135" s="15"/>
      <c r="J135" s="16"/>
      <c r="K135" s="13"/>
      <c r="L135" s="13"/>
      <c r="M135" s="13"/>
    </row>
    <row r="136" spans="1:13" ht="14.25" customHeight="1" x14ac:dyDescent="0.3">
      <c r="A136" s="13"/>
      <c r="B136" s="14"/>
      <c r="C136" s="14"/>
      <c r="D136" s="14"/>
      <c r="E136" s="13"/>
      <c r="F136" s="13"/>
      <c r="G136" s="13"/>
      <c r="H136" s="15"/>
      <c r="I136" s="15"/>
      <c r="J136" s="16"/>
      <c r="K136" s="13"/>
      <c r="L136" s="13"/>
      <c r="M136" s="13"/>
    </row>
    <row r="137" spans="1:13" ht="14.25" customHeight="1" x14ac:dyDescent="0.3">
      <c r="A137" s="13"/>
      <c r="B137" s="14"/>
      <c r="C137" s="14"/>
      <c r="D137" s="14"/>
      <c r="E137" s="13"/>
      <c r="F137" s="13"/>
      <c r="G137" s="13"/>
      <c r="H137" s="15"/>
      <c r="I137" s="15"/>
      <c r="J137" s="16"/>
      <c r="K137" s="13"/>
      <c r="L137" s="13"/>
      <c r="M137" s="13"/>
    </row>
    <row r="138" spans="1:13" ht="14.25" customHeight="1" x14ac:dyDescent="0.3">
      <c r="A138" s="13"/>
      <c r="B138" s="14"/>
      <c r="C138" s="14"/>
      <c r="D138" s="14"/>
      <c r="E138" s="13"/>
      <c r="F138" s="13"/>
      <c r="G138" s="13"/>
      <c r="H138" s="15"/>
      <c r="I138" s="15"/>
      <c r="J138" s="16"/>
      <c r="K138" s="13"/>
      <c r="L138" s="13"/>
      <c r="M138" s="13"/>
    </row>
    <row r="139" spans="1:13" ht="14.25" customHeight="1" x14ac:dyDescent="0.3">
      <c r="A139" s="13"/>
      <c r="B139" s="14"/>
      <c r="C139" s="14"/>
      <c r="D139" s="14"/>
      <c r="E139" s="13"/>
      <c r="F139" s="13"/>
      <c r="G139" s="13"/>
      <c r="H139" s="15"/>
      <c r="I139" s="15"/>
      <c r="J139" s="16"/>
      <c r="K139" s="13"/>
      <c r="L139" s="13"/>
      <c r="M139" s="13"/>
    </row>
    <row r="140" spans="1:13" ht="14.25" customHeight="1" x14ac:dyDescent="0.3">
      <c r="A140" s="13"/>
      <c r="B140" s="14"/>
      <c r="C140" s="14"/>
      <c r="D140" s="14"/>
      <c r="E140" s="13"/>
      <c r="F140" s="13"/>
      <c r="G140" s="13"/>
      <c r="H140" s="15"/>
      <c r="I140" s="15"/>
      <c r="J140" s="16"/>
      <c r="K140" s="13"/>
      <c r="L140" s="13"/>
      <c r="M140" s="13"/>
    </row>
    <row r="141" spans="1:13" ht="14.25" customHeight="1" x14ac:dyDescent="0.3">
      <c r="A141" s="13"/>
      <c r="B141" s="14"/>
      <c r="C141" s="14"/>
      <c r="D141" s="14"/>
      <c r="E141" s="13"/>
      <c r="F141" s="13"/>
      <c r="G141" s="13"/>
      <c r="H141" s="15"/>
      <c r="I141" s="15"/>
      <c r="J141" s="16"/>
      <c r="K141" s="13"/>
      <c r="L141" s="13"/>
      <c r="M141" s="13"/>
    </row>
    <row r="142" spans="1:13" ht="14.25" customHeight="1" x14ac:dyDescent="0.3">
      <c r="A142" s="13"/>
      <c r="B142" s="14"/>
      <c r="C142" s="14"/>
      <c r="D142" s="14"/>
      <c r="E142" s="13"/>
      <c r="F142" s="13"/>
      <c r="G142" s="13"/>
      <c r="H142" s="15"/>
      <c r="I142" s="15"/>
      <c r="J142" s="16"/>
      <c r="K142" s="13"/>
      <c r="L142" s="13"/>
      <c r="M142" s="13"/>
    </row>
    <row r="143" spans="1:13" ht="14.25" customHeight="1" x14ac:dyDescent="0.3">
      <c r="A143" s="13"/>
      <c r="B143" s="14"/>
      <c r="C143" s="14"/>
      <c r="D143" s="14"/>
      <c r="E143" s="13"/>
      <c r="F143" s="13"/>
      <c r="G143" s="13"/>
      <c r="H143" s="15"/>
      <c r="I143" s="15"/>
      <c r="J143" s="16"/>
      <c r="K143" s="13"/>
      <c r="L143" s="13"/>
      <c r="M143" s="13"/>
    </row>
    <row r="144" spans="1:13" ht="14.25" customHeight="1" x14ac:dyDescent="0.3">
      <c r="A144" s="13"/>
      <c r="B144" s="14"/>
      <c r="C144" s="14"/>
      <c r="D144" s="14"/>
      <c r="E144" s="13"/>
      <c r="F144" s="13"/>
      <c r="G144" s="13"/>
      <c r="H144" s="15"/>
      <c r="I144" s="15"/>
      <c r="J144" s="16"/>
      <c r="K144" s="13"/>
      <c r="L144" s="13"/>
      <c r="M144" s="13"/>
    </row>
    <row r="145" spans="1:13" ht="14.25" customHeight="1" x14ac:dyDescent="0.3">
      <c r="A145" s="13"/>
      <c r="B145" s="14"/>
      <c r="C145" s="14"/>
      <c r="D145" s="14"/>
      <c r="E145" s="13"/>
      <c r="F145" s="13"/>
      <c r="G145" s="13"/>
      <c r="H145" s="15"/>
      <c r="I145" s="15"/>
      <c r="J145" s="16"/>
      <c r="K145" s="13"/>
      <c r="L145" s="13"/>
      <c r="M145" s="13"/>
    </row>
    <row r="146" spans="1:13" ht="14.25" customHeight="1" x14ac:dyDescent="0.3">
      <c r="A146" s="13"/>
      <c r="B146" s="14"/>
      <c r="C146" s="14"/>
      <c r="D146" s="14"/>
      <c r="E146" s="13"/>
      <c r="F146" s="13"/>
      <c r="G146" s="13"/>
      <c r="H146" s="15"/>
      <c r="I146" s="15"/>
      <c r="J146" s="16"/>
      <c r="K146" s="13"/>
      <c r="L146" s="13"/>
      <c r="M146" s="13"/>
    </row>
    <row r="147" spans="1:13" ht="14.25" customHeight="1" x14ac:dyDescent="0.3">
      <c r="A147" s="13"/>
      <c r="B147" s="14"/>
      <c r="C147" s="14"/>
      <c r="D147" s="14"/>
      <c r="E147" s="13"/>
      <c r="F147" s="13"/>
      <c r="G147" s="13"/>
      <c r="H147" s="15"/>
      <c r="I147" s="15"/>
      <c r="J147" s="16"/>
      <c r="K147" s="13"/>
      <c r="L147" s="13"/>
      <c r="M147" s="13"/>
    </row>
    <row r="148" spans="1:13" ht="14.25" customHeight="1" x14ac:dyDescent="0.3">
      <c r="A148" s="13"/>
      <c r="B148" s="14"/>
      <c r="C148" s="14"/>
      <c r="D148" s="14"/>
      <c r="E148" s="13"/>
      <c r="F148" s="13"/>
      <c r="G148" s="13"/>
      <c r="H148" s="15"/>
      <c r="I148" s="15"/>
      <c r="J148" s="16"/>
      <c r="K148" s="13"/>
      <c r="L148" s="13"/>
      <c r="M148" s="13"/>
    </row>
    <row r="149" spans="1:13" ht="14.25" customHeight="1" x14ac:dyDescent="0.3">
      <c r="A149" s="13"/>
      <c r="B149" s="14"/>
      <c r="C149" s="14"/>
      <c r="D149" s="14"/>
      <c r="E149" s="13"/>
      <c r="F149" s="13"/>
      <c r="G149" s="13"/>
      <c r="H149" s="15"/>
      <c r="I149" s="15"/>
      <c r="J149" s="16"/>
      <c r="K149" s="13"/>
      <c r="L149" s="13"/>
      <c r="M149" s="13"/>
    </row>
    <row r="150" spans="1:13" ht="14.25" customHeight="1" x14ac:dyDescent="0.3">
      <c r="A150" s="13"/>
      <c r="B150" s="14"/>
      <c r="C150" s="14"/>
      <c r="D150" s="14"/>
      <c r="E150" s="13"/>
      <c r="F150" s="13"/>
      <c r="G150" s="13"/>
      <c r="H150" s="15"/>
      <c r="I150" s="15"/>
      <c r="J150" s="16"/>
      <c r="K150" s="13"/>
      <c r="L150" s="13"/>
      <c r="M150" s="13"/>
    </row>
    <row r="151" spans="1:13" ht="14.25" customHeight="1" x14ac:dyDescent="0.3">
      <c r="A151" s="13"/>
      <c r="B151" s="14"/>
      <c r="C151" s="14"/>
      <c r="D151" s="14"/>
      <c r="E151" s="13"/>
      <c r="F151" s="13"/>
      <c r="G151" s="13"/>
      <c r="H151" s="15"/>
      <c r="I151" s="15"/>
      <c r="J151" s="16"/>
      <c r="K151" s="13"/>
      <c r="L151" s="13"/>
      <c r="M151" s="13"/>
    </row>
    <row r="152" spans="1:13" ht="14.25" customHeight="1" x14ac:dyDescent="0.3">
      <c r="A152" s="13"/>
      <c r="B152" s="14"/>
      <c r="C152" s="14"/>
      <c r="D152" s="14"/>
      <c r="E152" s="13"/>
      <c r="F152" s="13"/>
      <c r="G152" s="13"/>
      <c r="H152" s="15"/>
      <c r="I152" s="15"/>
      <c r="J152" s="16"/>
      <c r="K152" s="13"/>
      <c r="L152" s="13"/>
      <c r="M152" s="13"/>
    </row>
    <row r="153" spans="1:13" ht="14.25" customHeight="1" x14ac:dyDescent="0.3">
      <c r="A153" s="13"/>
      <c r="B153" s="14"/>
      <c r="C153" s="14"/>
      <c r="D153" s="14"/>
      <c r="E153" s="13"/>
      <c r="F153" s="13"/>
      <c r="G153" s="13"/>
      <c r="H153" s="15"/>
      <c r="I153" s="15"/>
      <c r="J153" s="16"/>
      <c r="K153" s="13"/>
      <c r="L153" s="13"/>
      <c r="M153" s="13"/>
    </row>
    <row r="154" spans="1:13" ht="14.25" customHeight="1" x14ac:dyDescent="0.3">
      <c r="A154" s="13"/>
      <c r="B154" s="14"/>
      <c r="C154" s="14"/>
      <c r="D154" s="14"/>
      <c r="E154" s="13"/>
      <c r="F154" s="13"/>
      <c r="G154" s="13"/>
      <c r="H154" s="15"/>
      <c r="I154" s="15"/>
      <c r="J154" s="16"/>
      <c r="K154" s="13"/>
      <c r="L154" s="13"/>
      <c r="M154" s="13"/>
    </row>
    <row r="155" spans="1:13" ht="14.25" customHeight="1" x14ac:dyDescent="0.3">
      <c r="A155" s="13"/>
      <c r="B155" s="14"/>
      <c r="C155" s="14"/>
      <c r="D155" s="14"/>
      <c r="E155" s="13"/>
      <c r="F155" s="13"/>
      <c r="G155" s="13"/>
      <c r="H155" s="15"/>
      <c r="I155" s="15"/>
      <c r="J155" s="16"/>
      <c r="K155" s="13"/>
      <c r="L155" s="13"/>
      <c r="M155" s="13"/>
    </row>
    <row r="156" spans="1:13" ht="14.25" customHeight="1" x14ac:dyDescent="0.3">
      <c r="A156" s="13"/>
      <c r="B156" s="14"/>
      <c r="C156" s="14"/>
      <c r="D156" s="14"/>
      <c r="E156" s="13"/>
      <c r="F156" s="13"/>
      <c r="G156" s="13"/>
      <c r="H156" s="15"/>
      <c r="I156" s="15"/>
      <c r="J156" s="16"/>
      <c r="K156" s="13"/>
      <c r="L156" s="13"/>
      <c r="M156" s="13"/>
    </row>
    <row r="157" spans="1:13" ht="14.25" customHeight="1" x14ac:dyDescent="0.3">
      <c r="A157" s="13"/>
      <c r="B157" s="14"/>
      <c r="C157" s="14"/>
      <c r="D157" s="14"/>
      <c r="E157" s="13"/>
      <c r="F157" s="13"/>
      <c r="G157" s="13"/>
      <c r="H157" s="15"/>
      <c r="I157" s="15"/>
      <c r="J157" s="16"/>
      <c r="K157" s="13"/>
      <c r="L157" s="13"/>
      <c r="M157" s="13"/>
    </row>
    <row r="158" spans="1:13" ht="14.25" customHeight="1" x14ac:dyDescent="0.3">
      <c r="A158" s="13"/>
      <c r="B158" s="14"/>
      <c r="C158" s="14"/>
      <c r="D158" s="14"/>
      <c r="E158" s="13"/>
      <c r="F158" s="13"/>
      <c r="G158" s="13"/>
      <c r="H158" s="15"/>
      <c r="I158" s="15"/>
      <c r="J158" s="16"/>
      <c r="K158" s="13"/>
      <c r="L158" s="13"/>
      <c r="M158" s="13"/>
    </row>
    <row r="159" spans="1:13" ht="14.25" customHeight="1" x14ac:dyDescent="0.3">
      <c r="A159" s="13"/>
      <c r="B159" s="14"/>
      <c r="C159" s="14"/>
      <c r="D159" s="14"/>
      <c r="E159" s="13"/>
      <c r="F159" s="13"/>
      <c r="G159" s="13"/>
      <c r="H159" s="15"/>
      <c r="I159" s="15"/>
      <c r="J159" s="16"/>
      <c r="K159" s="13"/>
      <c r="L159" s="13"/>
      <c r="M159" s="13"/>
    </row>
    <row r="160" spans="1:13" ht="14.25" customHeight="1" x14ac:dyDescent="0.3">
      <c r="A160" s="13"/>
      <c r="B160" s="14"/>
      <c r="C160" s="14"/>
      <c r="D160" s="14"/>
      <c r="E160" s="13"/>
      <c r="F160" s="13"/>
      <c r="G160" s="13"/>
      <c r="H160" s="15"/>
      <c r="I160" s="15"/>
      <c r="J160" s="16"/>
      <c r="K160" s="13"/>
      <c r="L160" s="13"/>
      <c r="M160" s="13"/>
    </row>
    <row r="161" spans="1:13" ht="14.25" customHeight="1" x14ac:dyDescent="0.3">
      <c r="A161" s="13"/>
      <c r="B161" s="14"/>
      <c r="C161" s="14"/>
      <c r="D161" s="14"/>
      <c r="E161" s="13"/>
      <c r="F161" s="13"/>
      <c r="G161" s="13"/>
      <c r="H161" s="15"/>
      <c r="I161" s="15"/>
      <c r="J161" s="16"/>
      <c r="K161" s="13"/>
      <c r="L161" s="13"/>
      <c r="M161" s="13"/>
    </row>
    <row r="162" spans="1:13" ht="14.25" customHeight="1" x14ac:dyDescent="0.3">
      <c r="A162" s="13"/>
      <c r="B162" s="14"/>
      <c r="C162" s="14"/>
      <c r="D162" s="14"/>
      <c r="E162" s="13"/>
      <c r="F162" s="13"/>
      <c r="G162" s="13"/>
      <c r="H162" s="15"/>
      <c r="I162" s="15"/>
      <c r="J162" s="16"/>
      <c r="K162" s="13"/>
      <c r="L162" s="13"/>
      <c r="M162" s="13"/>
    </row>
    <row r="163" spans="1:13" ht="14.25" customHeight="1" x14ac:dyDescent="0.3">
      <c r="A163" s="13"/>
      <c r="B163" s="14"/>
      <c r="C163" s="14"/>
      <c r="D163" s="14"/>
      <c r="E163" s="13"/>
      <c r="F163" s="13"/>
      <c r="G163" s="13"/>
      <c r="H163" s="15"/>
      <c r="I163" s="15"/>
      <c r="J163" s="16"/>
      <c r="K163" s="13"/>
      <c r="L163" s="13"/>
      <c r="M163" s="13"/>
    </row>
    <row r="164" spans="1:13" ht="14.25" customHeight="1" x14ac:dyDescent="0.3">
      <c r="A164" s="13"/>
      <c r="B164" s="14"/>
      <c r="C164" s="14"/>
      <c r="D164" s="14"/>
      <c r="E164" s="13"/>
      <c r="F164" s="13"/>
      <c r="G164" s="13"/>
      <c r="H164" s="15"/>
      <c r="I164" s="15"/>
      <c r="J164" s="16"/>
      <c r="K164" s="13"/>
      <c r="L164" s="13"/>
      <c r="M164" s="13"/>
    </row>
    <row r="165" spans="1:13" ht="14.25" customHeight="1" x14ac:dyDescent="0.3">
      <c r="A165" s="13"/>
      <c r="B165" s="14"/>
      <c r="C165" s="14"/>
      <c r="D165" s="14"/>
      <c r="E165" s="13"/>
      <c r="F165" s="13"/>
      <c r="G165" s="13"/>
      <c r="H165" s="15"/>
      <c r="I165" s="15"/>
      <c r="J165" s="16"/>
      <c r="K165" s="13"/>
      <c r="L165" s="13"/>
      <c r="M165" s="13"/>
    </row>
    <row r="166" spans="1:13" ht="14.25" customHeight="1" x14ac:dyDescent="0.3">
      <c r="A166" s="13"/>
      <c r="B166" s="14"/>
      <c r="C166" s="14"/>
      <c r="D166" s="14"/>
      <c r="E166" s="13"/>
      <c r="F166" s="13"/>
      <c r="G166" s="13"/>
      <c r="H166" s="15"/>
      <c r="I166" s="15"/>
      <c r="J166" s="16"/>
      <c r="K166" s="13"/>
      <c r="L166" s="13"/>
      <c r="M166" s="13"/>
    </row>
    <row r="167" spans="1:13" ht="14.25" customHeight="1" x14ac:dyDescent="0.3">
      <c r="A167" s="13"/>
      <c r="B167" s="14"/>
      <c r="C167" s="14"/>
      <c r="D167" s="14"/>
      <c r="E167" s="13"/>
      <c r="F167" s="13"/>
      <c r="G167" s="13"/>
      <c r="H167" s="15"/>
      <c r="I167" s="15"/>
      <c r="J167" s="16"/>
      <c r="K167" s="13"/>
      <c r="L167" s="13"/>
      <c r="M167" s="13"/>
    </row>
    <row r="168" spans="1:13" ht="14.25" customHeight="1" x14ac:dyDescent="0.3">
      <c r="A168" s="13"/>
      <c r="B168" s="14"/>
      <c r="C168" s="14"/>
      <c r="D168" s="14"/>
      <c r="E168" s="13"/>
      <c r="F168" s="13"/>
      <c r="G168" s="13"/>
      <c r="H168" s="15"/>
      <c r="I168" s="15"/>
      <c r="J168" s="16"/>
      <c r="K168" s="13"/>
      <c r="L168" s="13"/>
      <c r="M168" s="13"/>
    </row>
    <row r="169" spans="1:13" ht="14.25" customHeight="1" x14ac:dyDescent="0.3">
      <c r="A169" s="13"/>
      <c r="B169" s="14"/>
      <c r="C169" s="14"/>
      <c r="D169" s="14"/>
      <c r="E169" s="13"/>
      <c r="F169" s="13"/>
      <c r="G169" s="13"/>
      <c r="H169" s="15"/>
      <c r="I169" s="15"/>
      <c r="J169" s="16"/>
      <c r="K169" s="13"/>
      <c r="L169" s="13"/>
      <c r="M169" s="13"/>
    </row>
    <row r="170" spans="1:13" ht="14.25" customHeight="1" x14ac:dyDescent="0.3">
      <c r="A170" s="13"/>
      <c r="B170" s="14"/>
      <c r="C170" s="14"/>
      <c r="D170" s="14"/>
      <c r="E170" s="13"/>
      <c r="F170" s="13"/>
      <c r="G170" s="13"/>
      <c r="H170" s="15"/>
      <c r="I170" s="15"/>
      <c r="J170" s="16"/>
      <c r="K170" s="13"/>
      <c r="L170" s="13"/>
      <c r="M170" s="13"/>
    </row>
    <row r="171" spans="1:13" ht="14.25" customHeight="1" x14ac:dyDescent="0.3">
      <c r="A171" s="13"/>
      <c r="B171" s="14"/>
      <c r="C171" s="14"/>
      <c r="D171" s="14"/>
      <c r="E171" s="13"/>
      <c r="F171" s="13"/>
      <c r="G171" s="13"/>
      <c r="H171" s="15"/>
      <c r="I171" s="15"/>
      <c r="J171" s="16"/>
      <c r="K171" s="13"/>
      <c r="L171" s="13"/>
      <c r="M171" s="13"/>
    </row>
    <row r="172" spans="1:13" ht="14.25" customHeight="1" x14ac:dyDescent="0.3">
      <c r="A172" s="13"/>
      <c r="B172" s="14"/>
      <c r="C172" s="14"/>
      <c r="D172" s="14"/>
      <c r="E172" s="13"/>
      <c r="F172" s="13"/>
      <c r="G172" s="13"/>
      <c r="H172" s="15"/>
      <c r="I172" s="15"/>
      <c r="J172" s="16"/>
      <c r="K172" s="13"/>
      <c r="L172" s="13"/>
      <c r="M172" s="13"/>
    </row>
    <row r="173" spans="1:13" ht="14.25" customHeight="1" x14ac:dyDescent="0.3">
      <c r="A173" s="13"/>
      <c r="B173" s="14"/>
      <c r="C173" s="14"/>
      <c r="D173" s="14"/>
      <c r="E173" s="13"/>
      <c r="F173" s="13"/>
      <c r="G173" s="13"/>
      <c r="H173" s="15"/>
      <c r="I173" s="15"/>
      <c r="J173" s="16"/>
      <c r="K173" s="13"/>
      <c r="L173" s="13"/>
      <c r="M173" s="13"/>
    </row>
    <row r="174" spans="1:13" ht="14.25" customHeight="1" x14ac:dyDescent="0.3">
      <c r="A174" s="13"/>
      <c r="B174" s="14"/>
      <c r="C174" s="14"/>
      <c r="D174" s="14"/>
      <c r="E174" s="13"/>
      <c r="F174" s="13"/>
      <c r="G174" s="13"/>
      <c r="H174" s="15"/>
      <c r="I174" s="15"/>
      <c r="J174" s="16"/>
      <c r="K174" s="13"/>
      <c r="L174" s="13"/>
      <c r="M174" s="13"/>
    </row>
    <row r="175" spans="1:13" ht="14.25" customHeight="1" x14ac:dyDescent="0.3">
      <c r="A175" s="13"/>
      <c r="B175" s="14"/>
      <c r="C175" s="14"/>
      <c r="D175" s="14"/>
      <c r="E175" s="13"/>
      <c r="F175" s="13"/>
      <c r="G175" s="13"/>
      <c r="H175" s="15"/>
      <c r="I175" s="15"/>
      <c r="J175" s="16"/>
      <c r="K175" s="13"/>
      <c r="L175" s="13"/>
      <c r="M175" s="13"/>
    </row>
    <row r="176" spans="1:13" ht="14.25" customHeight="1" x14ac:dyDescent="0.3">
      <c r="A176" s="13"/>
      <c r="B176" s="14"/>
      <c r="C176" s="14"/>
      <c r="D176" s="14"/>
      <c r="E176" s="13"/>
      <c r="F176" s="13"/>
      <c r="G176" s="13"/>
      <c r="H176" s="15"/>
      <c r="I176" s="15"/>
      <c r="J176" s="16"/>
      <c r="K176" s="13"/>
      <c r="L176" s="13"/>
      <c r="M176" s="13"/>
    </row>
    <row r="177" spans="1:13" ht="14.25" customHeight="1" x14ac:dyDescent="0.3">
      <c r="A177" s="13"/>
      <c r="B177" s="14"/>
      <c r="C177" s="14"/>
      <c r="D177" s="14"/>
      <c r="E177" s="13"/>
      <c r="F177" s="13"/>
      <c r="G177" s="13"/>
      <c r="H177" s="15"/>
      <c r="I177" s="15"/>
      <c r="J177" s="16"/>
      <c r="K177" s="13"/>
      <c r="L177" s="13"/>
      <c r="M177" s="13"/>
    </row>
    <row r="178" spans="1:13" ht="14.25" customHeight="1" x14ac:dyDescent="0.3">
      <c r="A178" s="13"/>
      <c r="B178" s="14"/>
      <c r="C178" s="14"/>
      <c r="D178" s="14"/>
      <c r="E178" s="13"/>
      <c r="F178" s="13"/>
      <c r="G178" s="13"/>
      <c r="H178" s="15"/>
      <c r="I178" s="15"/>
      <c r="J178" s="16"/>
      <c r="K178" s="13"/>
      <c r="L178" s="13"/>
      <c r="M178" s="13"/>
    </row>
    <row r="179" spans="1:13" ht="14.25" customHeight="1" x14ac:dyDescent="0.3">
      <c r="A179" s="13"/>
      <c r="B179" s="14"/>
      <c r="C179" s="14"/>
      <c r="D179" s="14"/>
      <c r="E179" s="13"/>
      <c r="F179" s="13"/>
      <c r="G179" s="13"/>
      <c r="H179" s="15"/>
      <c r="I179" s="15"/>
      <c r="J179" s="16"/>
      <c r="K179" s="13"/>
      <c r="L179" s="13"/>
      <c r="M179" s="13"/>
    </row>
    <row r="180" spans="1:13" ht="14.25" customHeight="1" x14ac:dyDescent="0.3">
      <c r="A180" s="13"/>
      <c r="B180" s="14"/>
      <c r="C180" s="14"/>
      <c r="D180" s="14"/>
      <c r="E180" s="13"/>
      <c r="F180" s="13"/>
      <c r="G180" s="13"/>
      <c r="H180" s="15"/>
      <c r="I180" s="15"/>
      <c r="J180" s="16"/>
      <c r="K180" s="13"/>
      <c r="L180" s="13"/>
      <c r="M180" s="13"/>
    </row>
    <row r="181" spans="1:13" ht="14.25" customHeight="1" x14ac:dyDescent="0.3">
      <c r="A181" s="13"/>
      <c r="B181" s="14"/>
      <c r="C181" s="14"/>
      <c r="D181" s="14"/>
      <c r="E181" s="13"/>
      <c r="F181" s="13"/>
      <c r="G181" s="13"/>
      <c r="H181" s="15"/>
      <c r="I181" s="15"/>
      <c r="J181" s="16"/>
      <c r="K181" s="13"/>
      <c r="L181" s="13"/>
      <c r="M181" s="13"/>
    </row>
    <row r="182" spans="1:13" ht="14.25" customHeight="1" x14ac:dyDescent="0.3">
      <c r="A182" s="13"/>
      <c r="B182" s="14"/>
      <c r="C182" s="14"/>
      <c r="D182" s="14"/>
      <c r="E182" s="13"/>
      <c r="F182" s="13"/>
      <c r="G182" s="13"/>
      <c r="H182" s="15"/>
      <c r="I182" s="15"/>
      <c r="J182" s="16"/>
      <c r="K182" s="13"/>
      <c r="L182" s="13"/>
      <c r="M182" s="13"/>
    </row>
    <row r="183" spans="1:13" ht="14.25" customHeight="1" x14ac:dyDescent="0.3">
      <c r="A183" s="13"/>
      <c r="B183" s="14"/>
      <c r="C183" s="14"/>
      <c r="D183" s="14"/>
      <c r="E183" s="13"/>
      <c r="F183" s="13"/>
      <c r="G183" s="13"/>
      <c r="H183" s="15"/>
      <c r="I183" s="15"/>
      <c r="J183" s="16"/>
      <c r="K183" s="13"/>
      <c r="L183" s="13"/>
      <c r="M183" s="13"/>
    </row>
    <row r="184" spans="1:13" ht="14.25" customHeight="1" x14ac:dyDescent="0.3">
      <c r="A184" s="13"/>
      <c r="B184" s="14"/>
      <c r="C184" s="14"/>
      <c r="D184" s="14"/>
      <c r="E184" s="13"/>
      <c r="F184" s="13"/>
      <c r="G184" s="13"/>
      <c r="H184" s="15"/>
      <c r="I184" s="15"/>
      <c r="J184" s="16"/>
      <c r="K184" s="13"/>
      <c r="L184" s="13"/>
      <c r="M184" s="13"/>
    </row>
    <row r="185" spans="1:13" ht="14.25" customHeight="1" x14ac:dyDescent="0.3">
      <c r="A185" s="13"/>
      <c r="B185" s="14"/>
      <c r="C185" s="14"/>
      <c r="D185" s="14"/>
      <c r="E185" s="13"/>
      <c r="F185" s="13"/>
      <c r="G185" s="13"/>
      <c r="H185" s="15"/>
      <c r="I185" s="15"/>
      <c r="J185" s="16"/>
      <c r="K185" s="13"/>
      <c r="L185" s="13"/>
      <c r="M185" s="13"/>
    </row>
    <row r="186" spans="1:13" ht="14.25" customHeight="1" x14ac:dyDescent="0.3">
      <c r="A186" s="13"/>
      <c r="B186" s="14"/>
      <c r="C186" s="14"/>
      <c r="D186" s="14"/>
      <c r="E186" s="13"/>
      <c r="F186" s="13"/>
      <c r="G186" s="13"/>
      <c r="H186" s="15"/>
      <c r="I186" s="15"/>
      <c r="J186" s="16"/>
      <c r="K186" s="13"/>
      <c r="L186" s="13"/>
      <c r="M186" s="13"/>
    </row>
    <row r="187" spans="1:13" ht="14.25" customHeight="1" x14ac:dyDescent="0.3">
      <c r="A187" s="13"/>
      <c r="B187" s="14"/>
      <c r="C187" s="14"/>
      <c r="D187" s="14"/>
      <c r="E187" s="13"/>
      <c r="F187" s="13"/>
      <c r="G187" s="13"/>
      <c r="H187" s="15"/>
      <c r="I187" s="15"/>
      <c r="J187" s="16"/>
      <c r="K187" s="13"/>
      <c r="L187" s="13"/>
      <c r="M187" s="13"/>
    </row>
    <row r="188" spans="1:13" ht="14.25" customHeight="1" x14ac:dyDescent="0.3">
      <c r="A188" s="13"/>
      <c r="B188" s="14"/>
      <c r="C188" s="14"/>
      <c r="D188" s="14"/>
      <c r="E188" s="13"/>
      <c r="F188" s="13"/>
      <c r="G188" s="13"/>
      <c r="H188" s="15"/>
      <c r="I188" s="15"/>
      <c r="J188" s="16"/>
      <c r="K188" s="13"/>
      <c r="L188" s="13"/>
      <c r="M188" s="13"/>
    </row>
    <row r="189" spans="1:13" ht="14.25" customHeight="1" x14ac:dyDescent="0.3">
      <c r="A189" s="13"/>
      <c r="B189" s="14"/>
      <c r="C189" s="14"/>
      <c r="D189" s="14"/>
      <c r="E189" s="13"/>
      <c r="F189" s="13"/>
      <c r="G189" s="13"/>
      <c r="H189" s="15"/>
      <c r="I189" s="15"/>
      <c r="J189" s="16"/>
      <c r="K189" s="13"/>
      <c r="L189" s="13"/>
      <c r="M189" s="13"/>
    </row>
    <row r="190" spans="1:13" ht="14.25" customHeight="1" x14ac:dyDescent="0.3">
      <c r="A190" s="13"/>
      <c r="B190" s="14"/>
      <c r="C190" s="14"/>
      <c r="D190" s="14"/>
      <c r="E190" s="13"/>
      <c r="F190" s="13"/>
      <c r="G190" s="13"/>
      <c r="H190" s="15"/>
      <c r="I190" s="15"/>
      <c r="J190" s="16"/>
      <c r="K190" s="13"/>
      <c r="L190" s="13"/>
      <c r="M190" s="13"/>
    </row>
    <row r="191" spans="1:13" ht="14.25" customHeight="1" x14ac:dyDescent="0.3">
      <c r="A191" s="13"/>
      <c r="B191" s="14"/>
      <c r="C191" s="14"/>
      <c r="D191" s="14"/>
      <c r="E191" s="13"/>
      <c r="F191" s="13"/>
      <c r="G191" s="13"/>
      <c r="H191" s="15"/>
      <c r="I191" s="15"/>
      <c r="J191" s="16"/>
      <c r="K191" s="13"/>
      <c r="L191" s="13"/>
      <c r="M191" s="13"/>
    </row>
    <row r="192" spans="1:13" ht="14.25" customHeight="1" x14ac:dyDescent="0.3">
      <c r="A192" s="13"/>
      <c r="B192" s="14"/>
      <c r="C192" s="14"/>
      <c r="D192" s="14"/>
      <c r="E192" s="13"/>
      <c r="F192" s="13"/>
      <c r="G192" s="13"/>
      <c r="H192" s="15"/>
      <c r="I192" s="15"/>
      <c r="J192" s="16"/>
      <c r="K192" s="13"/>
      <c r="L192" s="13"/>
      <c r="M192" s="13"/>
    </row>
    <row r="193" spans="1:13" ht="14.25" customHeight="1" x14ac:dyDescent="0.3">
      <c r="A193" s="13"/>
      <c r="B193" s="14"/>
      <c r="C193" s="14"/>
      <c r="D193" s="14"/>
      <c r="E193" s="13"/>
      <c r="F193" s="13"/>
      <c r="G193" s="13"/>
      <c r="H193" s="15"/>
      <c r="I193" s="15"/>
      <c r="J193" s="16"/>
      <c r="K193" s="13"/>
      <c r="L193" s="13"/>
      <c r="M193" s="13"/>
    </row>
    <row r="194" spans="1:13" ht="14.25" customHeight="1" x14ac:dyDescent="0.3">
      <c r="A194" s="13"/>
      <c r="B194" s="14"/>
      <c r="C194" s="14"/>
      <c r="D194" s="14"/>
      <c r="E194" s="13"/>
      <c r="F194" s="13"/>
      <c r="G194" s="13"/>
      <c r="H194" s="15"/>
      <c r="I194" s="15"/>
      <c r="J194" s="16"/>
      <c r="K194" s="13"/>
      <c r="L194" s="13"/>
      <c r="M194" s="13"/>
    </row>
    <row r="195" spans="1:13" ht="14.25" customHeight="1" x14ac:dyDescent="0.3">
      <c r="A195" s="13"/>
      <c r="B195" s="14"/>
      <c r="C195" s="14"/>
      <c r="D195" s="14"/>
      <c r="E195" s="13"/>
      <c r="F195" s="13"/>
      <c r="G195" s="13"/>
      <c r="H195" s="15"/>
      <c r="I195" s="15"/>
      <c r="J195" s="16"/>
      <c r="K195" s="13"/>
      <c r="L195" s="13"/>
      <c r="M195" s="13"/>
    </row>
    <row r="196" spans="1:13" ht="14.25" customHeight="1" x14ac:dyDescent="0.3">
      <c r="A196" s="13"/>
      <c r="B196" s="14"/>
      <c r="C196" s="14"/>
      <c r="D196" s="14"/>
      <c r="E196" s="13"/>
      <c r="F196" s="13"/>
      <c r="G196" s="13"/>
      <c r="H196" s="15"/>
      <c r="I196" s="15"/>
      <c r="J196" s="16"/>
      <c r="K196" s="13"/>
      <c r="L196" s="13"/>
      <c r="M196" s="13"/>
    </row>
    <row r="197" spans="1:13" ht="14.25" customHeight="1" x14ac:dyDescent="0.3">
      <c r="A197" s="13"/>
      <c r="B197" s="14"/>
      <c r="C197" s="14"/>
      <c r="D197" s="14"/>
      <c r="E197" s="13"/>
      <c r="F197" s="13"/>
      <c r="G197" s="13"/>
      <c r="H197" s="15"/>
      <c r="I197" s="15"/>
      <c r="J197" s="16"/>
      <c r="K197" s="13"/>
      <c r="L197" s="13"/>
      <c r="M197" s="13"/>
    </row>
    <row r="198" spans="1:13" ht="14.25" customHeight="1" x14ac:dyDescent="0.3">
      <c r="A198" s="13"/>
      <c r="B198" s="14"/>
      <c r="C198" s="14"/>
      <c r="D198" s="14"/>
      <c r="E198" s="13"/>
      <c r="F198" s="13"/>
      <c r="G198" s="13"/>
      <c r="H198" s="15"/>
      <c r="I198" s="15"/>
      <c r="J198" s="16"/>
      <c r="K198" s="13"/>
      <c r="L198" s="13"/>
      <c r="M198" s="13"/>
    </row>
    <row r="199" spans="1:13" ht="14.25" customHeight="1" x14ac:dyDescent="0.3">
      <c r="A199" s="13"/>
      <c r="B199" s="14"/>
      <c r="C199" s="14"/>
      <c r="D199" s="14"/>
      <c r="E199" s="13"/>
      <c r="F199" s="13"/>
      <c r="G199" s="13"/>
      <c r="H199" s="15"/>
      <c r="I199" s="15"/>
      <c r="J199" s="16"/>
      <c r="K199" s="13"/>
      <c r="L199" s="13"/>
      <c r="M199" s="13"/>
    </row>
    <row r="200" spans="1:13" ht="14.25" customHeight="1" x14ac:dyDescent="0.3">
      <c r="A200" s="13"/>
      <c r="B200" s="14"/>
      <c r="C200" s="14"/>
      <c r="D200" s="14"/>
      <c r="E200" s="13"/>
      <c r="F200" s="13"/>
      <c r="G200" s="13"/>
      <c r="H200" s="15"/>
      <c r="I200" s="15"/>
      <c r="J200" s="16"/>
      <c r="K200" s="13"/>
      <c r="L200" s="13"/>
      <c r="M200" s="13"/>
    </row>
    <row r="201" spans="1:13" ht="14.25" customHeight="1" x14ac:dyDescent="0.3">
      <c r="A201" s="13"/>
      <c r="B201" s="14"/>
      <c r="C201" s="14"/>
      <c r="D201" s="14"/>
      <c r="E201" s="13"/>
      <c r="F201" s="13"/>
      <c r="G201" s="13"/>
      <c r="H201" s="15"/>
      <c r="I201" s="15"/>
      <c r="J201" s="16"/>
      <c r="K201" s="13"/>
      <c r="L201" s="13"/>
      <c r="M201" s="13"/>
    </row>
    <row r="202" spans="1:13" ht="14.25" customHeight="1" x14ac:dyDescent="0.3">
      <c r="A202" s="13"/>
      <c r="B202" s="14"/>
      <c r="C202" s="14"/>
      <c r="D202" s="14"/>
      <c r="E202" s="13"/>
      <c r="F202" s="13"/>
      <c r="G202" s="13"/>
      <c r="H202" s="15"/>
      <c r="I202" s="15"/>
      <c r="J202" s="16"/>
      <c r="K202" s="13"/>
      <c r="L202" s="13"/>
      <c r="M202" s="13"/>
    </row>
    <row r="203" spans="1:13" ht="14.25" customHeight="1" x14ac:dyDescent="0.3">
      <c r="A203" s="13"/>
      <c r="B203" s="14"/>
      <c r="C203" s="14"/>
      <c r="D203" s="14"/>
      <c r="E203" s="13"/>
      <c r="F203" s="13"/>
      <c r="G203" s="13"/>
      <c r="H203" s="15"/>
      <c r="I203" s="15"/>
      <c r="J203" s="16"/>
      <c r="K203" s="13"/>
      <c r="L203" s="13"/>
      <c r="M203" s="13"/>
    </row>
    <row r="204" spans="1:13" ht="14.25" customHeight="1" x14ac:dyDescent="0.3">
      <c r="A204" s="13"/>
      <c r="B204" s="14"/>
      <c r="C204" s="14"/>
      <c r="D204" s="14"/>
      <c r="E204" s="13"/>
      <c r="F204" s="13"/>
      <c r="G204" s="13"/>
      <c r="H204" s="15"/>
      <c r="I204" s="15"/>
      <c r="J204" s="16"/>
      <c r="K204" s="13"/>
      <c r="L204" s="13"/>
      <c r="M204" s="13"/>
    </row>
    <row r="205" spans="1:13" ht="14.25" customHeight="1" x14ac:dyDescent="0.3">
      <c r="A205" s="13"/>
      <c r="B205" s="14"/>
      <c r="C205" s="14"/>
      <c r="D205" s="14"/>
      <c r="E205" s="13"/>
      <c r="F205" s="13"/>
      <c r="G205" s="13"/>
      <c r="H205" s="15"/>
      <c r="I205" s="15"/>
      <c r="J205" s="16"/>
      <c r="K205" s="13"/>
      <c r="L205" s="13"/>
      <c r="M205" s="13"/>
    </row>
    <row r="206" spans="1:13" ht="14.25" customHeight="1" x14ac:dyDescent="0.3">
      <c r="A206" s="13"/>
      <c r="B206" s="14"/>
      <c r="C206" s="14"/>
      <c r="D206" s="14"/>
      <c r="E206" s="13"/>
      <c r="F206" s="13"/>
      <c r="G206" s="13"/>
      <c r="H206" s="15"/>
      <c r="I206" s="15"/>
      <c r="J206" s="16"/>
      <c r="K206" s="13"/>
      <c r="L206" s="13"/>
      <c r="M206" s="13"/>
    </row>
    <row r="207" spans="1:13" ht="14.25" customHeight="1" x14ac:dyDescent="0.3">
      <c r="A207" s="13"/>
      <c r="B207" s="14"/>
      <c r="C207" s="14"/>
      <c r="D207" s="14"/>
      <c r="E207" s="13"/>
      <c r="F207" s="13"/>
      <c r="G207" s="13"/>
      <c r="H207" s="15"/>
      <c r="I207" s="15"/>
      <c r="J207" s="16"/>
      <c r="K207" s="13"/>
      <c r="L207" s="13"/>
      <c r="M207" s="13"/>
    </row>
    <row r="208" spans="1:13" ht="14.25" customHeight="1" x14ac:dyDescent="0.3">
      <c r="A208" s="13"/>
      <c r="B208" s="14"/>
      <c r="C208" s="14"/>
      <c r="D208" s="14"/>
      <c r="E208" s="13"/>
      <c r="F208" s="13"/>
      <c r="G208" s="13"/>
      <c r="H208" s="15"/>
      <c r="I208" s="15"/>
      <c r="J208" s="16"/>
      <c r="K208" s="13"/>
      <c r="L208" s="13"/>
      <c r="M208" s="13"/>
    </row>
    <row r="209" spans="1:13" ht="14.25" customHeight="1" x14ac:dyDescent="0.3">
      <c r="A209" s="13"/>
      <c r="B209" s="14"/>
      <c r="C209" s="14"/>
      <c r="D209" s="14"/>
      <c r="E209" s="13"/>
      <c r="F209" s="13"/>
      <c r="G209" s="13"/>
      <c r="H209" s="15"/>
      <c r="I209" s="15"/>
      <c r="J209" s="16"/>
      <c r="K209" s="13"/>
      <c r="L209" s="13"/>
      <c r="M209" s="13"/>
    </row>
    <row r="210" spans="1:13" ht="14.25" customHeight="1" x14ac:dyDescent="0.3">
      <c r="A210" s="13"/>
      <c r="B210" s="14"/>
      <c r="C210" s="14"/>
      <c r="D210" s="14"/>
      <c r="E210" s="13"/>
      <c r="F210" s="13"/>
      <c r="G210" s="13"/>
      <c r="H210" s="15"/>
      <c r="I210" s="15"/>
      <c r="J210" s="16"/>
      <c r="K210" s="13"/>
      <c r="L210" s="13"/>
      <c r="M210" s="13"/>
    </row>
    <row r="211" spans="1:13" ht="14.25" customHeight="1" x14ac:dyDescent="0.3">
      <c r="A211" s="13"/>
      <c r="B211" s="14"/>
      <c r="C211" s="14"/>
      <c r="D211" s="14"/>
      <c r="E211" s="13"/>
      <c r="F211" s="13"/>
      <c r="G211" s="13"/>
      <c r="H211" s="15"/>
      <c r="I211" s="15"/>
      <c r="J211" s="16"/>
      <c r="K211" s="13"/>
      <c r="L211" s="13"/>
      <c r="M211" s="13"/>
    </row>
    <row r="212" spans="1:13" ht="14.25" customHeight="1" x14ac:dyDescent="0.3">
      <c r="A212" s="13"/>
      <c r="B212" s="14"/>
      <c r="C212" s="14"/>
      <c r="D212" s="14"/>
      <c r="E212" s="13"/>
      <c r="F212" s="13"/>
      <c r="G212" s="13"/>
      <c r="H212" s="15"/>
      <c r="I212" s="15"/>
      <c r="J212" s="16"/>
      <c r="K212" s="13"/>
      <c r="L212" s="13"/>
      <c r="M212" s="13"/>
    </row>
    <row r="213" spans="1:13" ht="14.25" customHeight="1" x14ac:dyDescent="0.3">
      <c r="A213" s="13"/>
      <c r="B213" s="14"/>
      <c r="C213" s="14"/>
      <c r="D213" s="14"/>
      <c r="E213" s="13"/>
      <c r="F213" s="13"/>
      <c r="G213" s="13"/>
      <c r="H213" s="15"/>
      <c r="I213" s="15"/>
      <c r="J213" s="16"/>
      <c r="K213" s="13"/>
      <c r="L213" s="13"/>
      <c r="M213" s="13"/>
    </row>
    <row r="214" spans="1:13" ht="14.25" customHeight="1" x14ac:dyDescent="0.3">
      <c r="A214" s="13"/>
      <c r="B214" s="14"/>
      <c r="C214" s="14"/>
      <c r="D214" s="14"/>
      <c r="E214" s="13"/>
      <c r="F214" s="13"/>
      <c r="G214" s="13"/>
      <c r="H214" s="15"/>
      <c r="I214" s="15"/>
      <c r="J214" s="16"/>
      <c r="K214" s="13"/>
      <c r="L214" s="13"/>
      <c r="M214" s="13"/>
    </row>
    <row r="215" spans="1:13" ht="14.25" customHeight="1" x14ac:dyDescent="0.3">
      <c r="A215" s="13"/>
      <c r="B215" s="14"/>
      <c r="C215" s="14"/>
      <c r="D215" s="14"/>
      <c r="E215" s="13"/>
      <c r="F215" s="13"/>
      <c r="G215" s="13"/>
      <c r="H215" s="15"/>
      <c r="I215" s="15"/>
      <c r="J215" s="16"/>
      <c r="K215" s="13"/>
      <c r="L215" s="13"/>
      <c r="M215" s="13"/>
    </row>
    <row r="216" spans="1:13" ht="14.25" customHeight="1" x14ac:dyDescent="0.3">
      <c r="A216" s="13"/>
      <c r="B216" s="14"/>
      <c r="C216" s="14"/>
      <c r="D216" s="14"/>
      <c r="E216" s="13"/>
      <c r="F216" s="13"/>
      <c r="G216" s="13"/>
      <c r="H216" s="15"/>
      <c r="I216" s="15"/>
      <c r="J216" s="16"/>
      <c r="K216" s="13"/>
      <c r="L216" s="13"/>
      <c r="M216" s="13"/>
    </row>
    <row r="217" spans="1:13" ht="14.25" customHeight="1" x14ac:dyDescent="0.3">
      <c r="A217" s="13"/>
      <c r="B217" s="14"/>
      <c r="C217" s="14"/>
      <c r="D217" s="14"/>
      <c r="E217" s="13"/>
      <c r="F217" s="13"/>
      <c r="G217" s="13"/>
      <c r="H217" s="15"/>
      <c r="I217" s="15"/>
      <c r="J217" s="16"/>
      <c r="K217" s="13"/>
      <c r="L217" s="13"/>
      <c r="M217" s="13"/>
    </row>
    <row r="218" spans="1:13" ht="14.25" customHeight="1" x14ac:dyDescent="0.3">
      <c r="A218" s="13"/>
      <c r="B218" s="14"/>
      <c r="C218" s="14"/>
      <c r="D218" s="14"/>
      <c r="E218" s="13"/>
      <c r="F218" s="13"/>
      <c r="G218" s="13"/>
      <c r="H218" s="15"/>
      <c r="I218" s="15"/>
      <c r="J218" s="16"/>
      <c r="K218" s="13"/>
      <c r="L218" s="13"/>
      <c r="M218" s="13"/>
    </row>
    <row r="219" spans="1:13" ht="14.25" customHeight="1" x14ac:dyDescent="0.3">
      <c r="A219" s="13"/>
      <c r="B219" s="14"/>
      <c r="C219" s="14"/>
      <c r="D219" s="14"/>
      <c r="E219" s="13"/>
      <c r="F219" s="13"/>
      <c r="G219" s="13"/>
      <c r="H219" s="15"/>
      <c r="I219" s="15"/>
      <c r="J219" s="16"/>
      <c r="K219" s="13"/>
      <c r="L219" s="13"/>
      <c r="M219" s="13"/>
    </row>
    <row r="220" spans="1:13" ht="14.25" customHeight="1" x14ac:dyDescent="0.3">
      <c r="A220" s="13"/>
      <c r="B220" s="14"/>
      <c r="C220" s="14"/>
      <c r="D220" s="14"/>
      <c r="E220" s="13"/>
      <c r="F220" s="13"/>
      <c r="G220" s="13"/>
      <c r="H220" s="15"/>
      <c r="I220" s="15"/>
      <c r="J220" s="16"/>
      <c r="K220" s="13"/>
      <c r="L220" s="13"/>
      <c r="M220" s="13"/>
    </row>
    <row r="221" spans="1:13" ht="14.25" customHeight="1" x14ac:dyDescent="0.3">
      <c r="A221" s="13"/>
      <c r="B221" s="14"/>
      <c r="C221" s="14"/>
      <c r="D221" s="14"/>
      <c r="E221" s="13"/>
      <c r="F221" s="13"/>
      <c r="G221" s="13"/>
      <c r="H221" s="15"/>
      <c r="I221" s="15"/>
      <c r="J221" s="16"/>
      <c r="K221" s="13"/>
      <c r="L221" s="13"/>
      <c r="M221" s="13"/>
    </row>
    <row r="222" spans="1:13" ht="14.25" customHeight="1" x14ac:dyDescent="0.3">
      <c r="A222" s="13"/>
      <c r="B222" s="14"/>
      <c r="C222" s="14"/>
      <c r="D222" s="14"/>
      <c r="E222" s="13"/>
      <c r="F222" s="13"/>
      <c r="G222" s="13"/>
      <c r="H222" s="15"/>
      <c r="I222" s="15"/>
      <c r="J222" s="16"/>
      <c r="K222" s="13"/>
      <c r="L222" s="13"/>
      <c r="M222" s="13"/>
    </row>
    <row r="223" spans="1:13" ht="14.25" customHeight="1" x14ac:dyDescent="0.3">
      <c r="A223" s="13"/>
      <c r="B223" s="14"/>
      <c r="C223" s="14"/>
      <c r="D223" s="14"/>
      <c r="E223" s="13"/>
      <c r="F223" s="13"/>
      <c r="G223" s="13"/>
      <c r="H223" s="15"/>
      <c r="I223" s="15"/>
      <c r="J223" s="16"/>
      <c r="K223" s="13"/>
      <c r="L223" s="13"/>
      <c r="M223" s="13"/>
    </row>
    <row r="224" spans="1:13" ht="14.25" customHeight="1" x14ac:dyDescent="0.3">
      <c r="A224" s="13"/>
      <c r="B224" s="14"/>
      <c r="C224" s="14"/>
      <c r="D224" s="14"/>
      <c r="E224" s="13"/>
      <c r="F224" s="13"/>
      <c r="G224" s="13"/>
      <c r="H224" s="15"/>
      <c r="I224" s="15"/>
      <c r="J224" s="16"/>
      <c r="K224" s="13"/>
      <c r="L224" s="13"/>
      <c r="M224" s="13"/>
    </row>
    <row r="225" spans="1:13" ht="14.25" customHeight="1" x14ac:dyDescent="0.3">
      <c r="A225" s="13"/>
      <c r="B225" s="14"/>
      <c r="C225" s="14"/>
      <c r="D225" s="14"/>
      <c r="E225" s="13"/>
      <c r="F225" s="13"/>
      <c r="G225" s="13"/>
      <c r="H225" s="15"/>
      <c r="I225" s="15"/>
      <c r="J225" s="16"/>
      <c r="K225" s="13"/>
      <c r="L225" s="13"/>
      <c r="M225" s="13"/>
    </row>
    <row r="226" spans="1:13" ht="14.25" customHeight="1" x14ac:dyDescent="0.3">
      <c r="A226" s="13"/>
      <c r="B226" s="14"/>
      <c r="C226" s="14"/>
      <c r="D226" s="14"/>
      <c r="E226" s="13"/>
      <c r="F226" s="13"/>
      <c r="G226" s="13"/>
      <c r="H226" s="15"/>
      <c r="I226" s="15"/>
      <c r="J226" s="16"/>
      <c r="K226" s="13"/>
      <c r="L226" s="13"/>
      <c r="M226" s="13"/>
    </row>
    <row r="227" spans="1:13" ht="14.25" customHeight="1" x14ac:dyDescent="0.3">
      <c r="A227" s="13"/>
      <c r="B227" s="14"/>
      <c r="C227" s="14"/>
      <c r="D227" s="14"/>
      <c r="E227" s="13"/>
      <c r="F227" s="13"/>
      <c r="G227" s="13"/>
      <c r="H227" s="15"/>
      <c r="I227" s="15"/>
      <c r="J227" s="16"/>
      <c r="K227" s="13"/>
      <c r="L227" s="13"/>
      <c r="M227" s="13"/>
    </row>
    <row r="228" spans="1:13" ht="14.25" customHeight="1" x14ac:dyDescent="0.3">
      <c r="A228" s="13"/>
      <c r="B228" s="14"/>
      <c r="C228" s="14"/>
      <c r="D228" s="14"/>
      <c r="E228" s="13"/>
      <c r="F228" s="13"/>
      <c r="G228" s="13"/>
      <c r="H228" s="15"/>
      <c r="I228" s="15"/>
      <c r="J228" s="16"/>
      <c r="K228" s="13"/>
      <c r="L228" s="13"/>
      <c r="M228" s="13"/>
    </row>
    <row r="229" spans="1:13" ht="14.25" customHeight="1" x14ac:dyDescent="0.3">
      <c r="A229" s="13"/>
      <c r="B229" s="14"/>
      <c r="C229" s="14"/>
      <c r="D229" s="14"/>
      <c r="E229" s="13"/>
      <c r="F229" s="13"/>
      <c r="G229" s="13"/>
      <c r="H229" s="15"/>
      <c r="I229" s="15"/>
      <c r="J229" s="16"/>
      <c r="K229" s="13"/>
      <c r="L229" s="13"/>
      <c r="M229" s="13"/>
    </row>
    <row r="230" spans="1:13" ht="14.25" customHeight="1" x14ac:dyDescent="0.3">
      <c r="A230" s="13"/>
      <c r="B230" s="14"/>
      <c r="C230" s="14"/>
      <c r="D230" s="14"/>
      <c r="E230" s="13"/>
      <c r="F230" s="13"/>
      <c r="G230" s="13"/>
      <c r="H230" s="15"/>
      <c r="I230" s="15"/>
      <c r="J230" s="16"/>
      <c r="K230" s="13"/>
      <c r="L230" s="13"/>
      <c r="M230" s="13"/>
    </row>
    <row r="231" spans="1:13" ht="14.25" customHeight="1" x14ac:dyDescent="0.3">
      <c r="A231" s="13"/>
      <c r="B231" s="14"/>
      <c r="C231" s="14"/>
      <c r="D231" s="14"/>
      <c r="E231" s="13"/>
      <c r="F231" s="13"/>
      <c r="G231" s="13"/>
      <c r="H231" s="15"/>
      <c r="I231" s="15"/>
      <c r="J231" s="16"/>
      <c r="K231" s="13"/>
      <c r="L231" s="13"/>
      <c r="M231" s="13"/>
    </row>
    <row r="232" spans="1:13" ht="14.25" customHeight="1" x14ac:dyDescent="0.3">
      <c r="A232" s="13"/>
      <c r="B232" s="14"/>
      <c r="C232" s="14"/>
      <c r="D232" s="14"/>
      <c r="E232" s="13"/>
      <c r="F232" s="13"/>
      <c r="G232" s="13"/>
      <c r="H232" s="15"/>
      <c r="I232" s="15"/>
      <c r="J232" s="16"/>
      <c r="K232" s="13"/>
      <c r="L232" s="13"/>
      <c r="M232" s="13"/>
    </row>
    <row r="233" spans="1:13" ht="14.25" customHeight="1" x14ac:dyDescent="0.3">
      <c r="A233" s="13"/>
      <c r="B233" s="14"/>
      <c r="C233" s="14"/>
      <c r="D233" s="14"/>
      <c r="E233" s="13"/>
      <c r="F233" s="13"/>
      <c r="G233" s="13"/>
      <c r="H233" s="15"/>
      <c r="I233" s="15"/>
      <c r="J233" s="16"/>
      <c r="K233" s="13"/>
      <c r="L233" s="13"/>
      <c r="M233" s="13"/>
    </row>
    <row r="234" spans="1:13" ht="14.25" customHeight="1" x14ac:dyDescent="0.3">
      <c r="A234" s="13"/>
      <c r="B234" s="14"/>
      <c r="C234" s="14"/>
      <c r="D234" s="14"/>
      <c r="E234" s="13"/>
      <c r="F234" s="13"/>
      <c r="G234" s="13"/>
      <c r="H234" s="15"/>
      <c r="I234" s="15"/>
      <c r="J234" s="16"/>
      <c r="K234" s="13"/>
      <c r="L234" s="13"/>
      <c r="M234" s="13"/>
    </row>
    <row r="235" spans="1:13" ht="14.25" customHeight="1" x14ac:dyDescent="0.3">
      <c r="A235" s="13"/>
      <c r="B235" s="14"/>
      <c r="C235" s="14"/>
      <c r="D235" s="14"/>
      <c r="E235" s="13"/>
      <c r="F235" s="13"/>
      <c r="G235" s="13"/>
      <c r="H235" s="15"/>
      <c r="I235" s="15"/>
      <c r="J235" s="16"/>
      <c r="K235" s="13"/>
      <c r="L235" s="13"/>
      <c r="M235" s="13"/>
    </row>
    <row r="236" spans="1:13" ht="14.25" customHeight="1" x14ac:dyDescent="0.3">
      <c r="A236" s="13"/>
      <c r="B236" s="14"/>
      <c r="C236" s="14"/>
      <c r="D236" s="14"/>
      <c r="E236" s="13"/>
      <c r="F236" s="13"/>
      <c r="G236" s="13"/>
      <c r="H236" s="15"/>
      <c r="I236" s="15"/>
      <c r="J236" s="16"/>
      <c r="K236" s="13"/>
      <c r="L236" s="13"/>
      <c r="M236" s="13"/>
    </row>
    <row r="237" spans="1:13" ht="14.25" customHeight="1" x14ac:dyDescent="0.3">
      <c r="A237" s="13"/>
      <c r="B237" s="14"/>
      <c r="C237" s="14"/>
      <c r="D237" s="14"/>
      <c r="E237" s="13"/>
      <c r="F237" s="13"/>
      <c r="G237" s="13"/>
      <c r="H237" s="15"/>
      <c r="I237" s="15"/>
      <c r="J237" s="16"/>
      <c r="K237" s="13"/>
      <c r="L237" s="13"/>
      <c r="M237" s="13"/>
    </row>
    <row r="238" spans="1:13" ht="14.25" customHeight="1" x14ac:dyDescent="0.3">
      <c r="A238" s="13"/>
      <c r="B238" s="14"/>
      <c r="C238" s="14"/>
      <c r="D238" s="14"/>
      <c r="E238" s="13"/>
      <c r="F238" s="13"/>
      <c r="G238" s="13"/>
      <c r="H238" s="15"/>
      <c r="I238" s="15"/>
      <c r="J238" s="16"/>
      <c r="K238" s="13"/>
      <c r="L238" s="13"/>
      <c r="M238" s="13"/>
    </row>
    <row r="239" spans="1:13" ht="14.25" customHeight="1" x14ac:dyDescent="0.3">
      <c r="A239" s="13"/>
      <c r="B239" s="14"/>
      <c r="C239" s="14"/>
      <c r="D239" s="14"/>
      <c r="E239" s="13"/>
      <c r="F239" s="13"/>
      <c r="G239" s="13"/>
      <c r="H239" s="15"/>
      <c r="I239" s="15"/>
      <c r="J239" s="16"/>
      <c r="K239" s="13"/>
      <c r="L239" s="13"/>
      <c r="M239" s="13"/>
    </row>
    <row r="240" spans="1:13" ht="14.25" customHeight="1" x14ac:dyDescent="0.3">
      <c r="A240" s="13"/>
      <c r="B240" s="14"/>
      <c r="C240" s="14"/>
      <c r="D240" s="14"/>
      <c r="E240" s="13"/>
      <c r="F240" s="13"/>
      <c r="G240" s="13"/>
      <c r="H240" s="15"/>
      <c r="I240" s="15"/>
      <c r="J240" s="16"/>
      <c r="K240" s="13"/>
      <c r="L240" s="13"/>
      <c r="M240" s="13"/>
    </row>
    <row r="241" spans="1:13" ht="14.25" customHeight="1" x14ac:dyDescent="0.3">
      <c r="A241" s="13"/>
      <c r="B241" s="14"/>
      <c r="C241" s="14"/>
      <c r="D241" s="14"/>
      <c r="E241" s="13"/>
      <c r="F241" s="13"/>
      <c r="G241" s="13"/>
      <c r="H241" s="15"/>
      <c r="I241" s="15"/>
      <c r="J241" s="16"/>
      <c r="K241" s="13"/>
      <c r="L241" s="13"/>
      <c r="M241" s="13"/>
    </row>
    <row r="242" spans="1:13" ht="14.25" customHeight="1" x14ac:dyDescent="0.3">
      <c r="A242" s="13"/>
      <c r="B242" s="14"/>
      <c r="C242" s="14"/>
      <c r="D242" s="14"/>
      <c r="E242" s="13"/>
      <c r="F242" s="13"/>
      <c r="G242" s="13"/>
      <c r="H242" s="15"/>
      <c r="I242" s="15"/>
      <c r="J242" s="16"/>
      <c r="K242" s="13"/>
      <c r="L242" s="13"/>
      <c r="M242" s="13"/>
    </row>
    <row r="243" spans="1:13" ht="14.25" customHeight="1" x14ac:dyDescent="0.3">
      <c r="A243" s="13"/>
      <c r="B243" s="14"/>
      <c r="C243" s="14"/>
      <c r="D243" s="14"/>
      <c r="E243" s="13"/>
      <c r="F243" s="13"/>
      <c r="G243" s="13"/>
      <c r="H243" s="15"/>
      <c r="I243" s="15"/>
      <c r="J243" s="16"/>
      <c r="K243" s="13"/>
      <c r="L243" s="13"/>
      <c r="M243" s="13"/>
    </row>
    <row r="244" spans="1:13" ht="14.25" customHeight="1" x14ac:dyDescent="0.3">
      <c r="A244" s="13"/>
      <c r="B244" s="14"/>
      <c r="C244" s="14"/>
      <c r="D244" s="14"/>
      <c r="E244" s="13"/>
      <c r="F244" s="13"/>
      <c r="G244" s="13"/>
      <c r="H244" s="15"/>
      <c r="I244" s="15"/>
      <c r="J244" s="16"/>
      <c r="K244" s="13"/>
      <c r="L244" s="13"/>
      <c r="M244" s="13"/>
    </row>
    <row r="245" spans="1:13" ht="14.25" customHeight="1" x14ac:dyDescent="0.3">
      <c r="A245" s="13"/>
      <c r="B245" s="14"/>
      <c r="C245" s="14"/>
      <c r="D245" s="14"/>
      <c r="E245" s="13"/>
      <c r="F245" s="13"/>
      <c r="G245" s="13"/>
      <c r="H245" s="15"/>
      <c r="I245" s="15"/>
      <c r="J245" s="16"/>
      <c r="K245" s="13"/>
      <c r="L245" s="13"/>
      <c r="M245" s="13"/>
    </row>
    <row r="246" spans="1:13" ht="14.25" customHeight="1" x14ac:dyDescent="0.3">
      <c r="A246" s="13"/>
      <c r="B246" s="14"/>
      <c r="C246" s="14"/>
      <c r="D246" s="14"/>
      <c r="E246" s="13"/>
      <c r="F246" s="13"/>
      <c r="G246" s="13"/>
      <c r="H246" s="15"/>
      <c r="I246" s="15"/>
      <c r="J246" s="16"/>
      <c r="K246" s="13"/>
      <c r="L246" s="13"/>
      <c r="M246" s="13"/>
    </row>
    <row r="247" spans="1:13" ht="14.25" customHeight="1" x14ac:dyDescent="0.3">
      <c r="A247" s="13"/>
      <c r="B247" s="14"/>
      <c r="C247" s="14"/>
      <c r="D247" s="14"/>
      <c r="E247" s="13"/>
      <c r="F247" s="13"/>
      <c r="G247" s="13"/>
      <c r="H247" s="15"/>
      <c r="I247" s="15"/>
      <c r="J247" s="16"/>
      <c r="K247" s="13"/>
      <c r="L247" s="13"/>
      <c r="M247" s="13"/>
    </row>
    <row r="248" spans="1:13" ht="14.25" customHeight="1" x14ac:dyDescent="0.3">
      <c r="A248" s="13"/>
      <c r="B248" s="14"/>
      <c r="C248" s="14"/>
      <c r="D248" s="14"/>
      <c r="E248" s="13"/>
      <c r="F248" s="13"/>
      <c r="G248" s="13"/>
      <c r="H248" s="15"/>
      <c r="I248" s="15"/>
      <c r="J248" s="16"/>
      <c r="K248" s="13"/>
      <c r="L248" s="13"/>
      <c r="M248" s="13"/>
    </row>
    <row r="249" spans="1:13" ht="14.25" customHeight="1" x14ac:dyDescent="0.3">
      <c r="A249" s="13"/>
      <c r="B249" s="14"/>
      <c r="C249" s="14"/>
      <c r="D249" s="14"/>
      <c r="E249" s="13"/>
      <c r="F249" s="13"/>
      <c r="G249" s="13"/>
      <c r="H249" s="15"/>
      <c r="I249" s="15"/>
      <c r="J249" s="16"/>
      <c r="K249" s="13"/>
      <c r="L249" s="13"/>
      <c r="M249" s="13"/>
    </row>
    <row r="250" spans="1:13" ht="14.25" customHeight="1" x14ac:dyDescent="0.3">
      <c r="A250" s="13"/>
      <c r="B250" s="14"/>
      <c r="C250" s="14"/>
      <c r="D250" s="14"/>
      <c r="E250" s="13"/>
      <c r="F250" s="13"/>
      <c r="G250" s="13"/>
      <c r="H250" s="15"/>
      <c r="I250" s="15"/>
      <c r="J250" s="16"/>
      <c r="K250" s="13"/>
      <c r="L250" s="13"/>
      <c r="M250" s="13"/>
    </row>
    <row r="251" spans="1:13" ht="14.25" customHeight="1" x14ac:dyDescent="0.3">
      <c r="A251" s="13"/>
      <c r="B251" s="14"/>
      <c r="C251" s="14"/>
      <c r="D251" s="14"/>
      <c r="E251" s="13"/>
      <c r="F251" s="13"/>
      <c r="G251" s="13"/>
      <c r="H251" s="15"/>
      <c r="I251" s="15"/>
      <c r="J251" s="16"/>
      <c r="K251" s="13"/>
      <c r="L251" s="13"/>
      <c r="M251" s="13"/>
    </row>
    <row r="252" spans="1:13" ht="14.25" customHeight="1" x14ac:dyDescent="0.3">
      <c r="A252" s="13"/>
      <c r="B252" s="14"/>
      <c r="C252" s="14"/>
      <c r="D252" s="14"/>
      <c r="E252" s="13"/>
      <c r="F252" s="13"/>
      <c r="G252" s="13"/>
      <c r="H252" s="15"/>
      <c r="I252" s="15"/>
      <c r="J252" s="16"/>
      <c r="K252" s="13"/>
      <c r="L252" s="13"/>
      <c r="M252" s="13"/>
    </row>
    <row r="253" spans="1:13" ht="14.25" customHeight="1" x14ac:dyDescent="0.3">
      <c r="A253" s="13"/>
      <c r="B253" s="14"/>
      <c r="C253" s="14"/>
      <c r="D253" s="14"/>
      <c r="E253" s="13"/>
      <c r="F253" s="13"/>
      <c r="G253" s="13"/>
      <c r="H253" s="15"/>
      <c r="I253" s="15"/>
      <c r="J253" s="16"/>
      <c r="K253" s="13"/>
      <c r="L253" s="13"/>
      <c r="M253" s="13"/>
    </row>
    <row r="254" spans="1:13" ht="14.25" customHeight="1" x14ac:dyDescent="0.3">
      <c r="A254" s="13"/>
      <c r="B254" s="14"/>
      <c r="C254" s="14"/>
      <c r="D254" s="14"/>
      <c r="E254" s="13"/>
      <c r="F254" s="13"/>
      <c r="G254" s="13"/>
      <c r="H254" s="15"/>
      <c r="I254" s="15"/>
      <c r="J254" s="16"/>
      <c r="K254" s="13"/>
      <c r="L254" s="13"/>
      <c r="M254" s="13"/>
    </row>
    <row r="255" spans="1:13" ht="14.25" customHeight="1" x14ac:dyDescent="0.3">
      <c r="A255" s="13"/>
      <c r="B255" s="14"/>
      <c r="C255" s="14"/>
      <c r="D255" s="14"/>
      <c r="E255" s="13"/>
      <c r="F255" s="13"/>
      <c r="G255" s="13"/>
      <c r="H255" s="15"/>
      <c r="I255" s="15"/>
      <c r="J255" s="16"/>
      <c r="K255" s="13"/>
      <c r="L255" s="13"/>
      <c r="M255" s="13"/>
    </row>
    <row r="256" spans="1:13" ht="14.25" customHeight="1" x14ac:dyDescent="0.3">
      <c r="A256" s="13"/>
      <c r="B256" s="14"/>
      <c r="C256" s="14"/>
      <c r="D256" s="14"/>
      <c r="E256" s="13"/>
      <c r="F256" s="13"/>
      <c r="G256" s="13"/>
      <c r="H256" s="15"/>
      <c r="I256" s="15"/>
      <c r="J256" s="16"/>
      <c r="K256" s="13"/>
      <c r="L256" s="13"/>
      <c r="M256" s="13"/>
    </row>
    <row r="257" spans="1:13" ht="14.25" customHeight="1" x14ac:dyDescent="0.3">
      <c r="A257" s="13"/>
      <c r="B257" s="14"/>
      <c r="C257" s="14"/>
      <c r="D257" s="14"/>
      <c r="E257" s="13"/>
      <c r="F257" s="13"/>
      <c r="G257" s="13"/>
      <c r="H257" s="15"/>
      <c r="I257" s="15"/>
      <c r="J257" s="16"/>
      <c r="K257" s="13"/>
      <c r="L257" s="13"/>
      <c r="M257" s="13"/>
    </row>
    <row r="258" spans="1:13" ht="14.25" customHeight="1" x14ac:dyDescent="0.3">
      <c r="A258" s="13"/>
      <c r="B258" s="14"/>
      <c r="C258" s="14"/>
      <c r="D258" s="14"/>
      <c r="E258" s="13"/>
      <c r="F258" s="13"/>
      <c r="G258" s="13"/>
      <c r="H258" s="15"/>
      <c r="I258" s="15"/>
      <c r="J258" s="16"/>
      <c r="K258" s="13"/>
      <c r="L258" s="13"/>
      <c r="M258" s="13"/>
    </row>
    <row r="259" spans="1:13" ht="14.25" customHeight="1" x14ac:dyDescent="0.3">
      <c r="A259" s="13"/>
      <c r="B259" s="14"/>
      <c r="C259" s="14"/>
      <c r="D259" s="14"/>
      <c r="E259" s="13"/>
      <c r="F259" s="13"/>
      <c r="G259" s="13"/>
      <c r="H259" s="15"/>
      <c r="I259" s="15"/>
      <c r="J259" s="16"/>
      <c r="K259" s="13"/>
      <c r="L259" s="13"/>
      <c r="M259" s="13"/>
    </row>
    <row r="260" spans="1:13" ht="14.25" customHeight="1" x14ac:dyDescent="0.3">
      <c r="A260" s="13"/>
      <c r="B260" s="14"/>
      <c r="C260" s="14"/>
      <c r="D260" s="14"/>
      <c r="E260" s="13"/>
      <c r="F260" s="13"/>
      <c r="G260" s="13"/>
      <c r="H260" s="15"/>
      <c r="I260" s="15"/>
      <c r="J260" s="16"/>
      <c r="K260" s="13"/>
      <c r="L260" s="13"/>
      <c r="M260" s="13"/>
    </row>
    <row r="261" spans="1:13" ht="14.25" customHeight="1" x14ac:dyDescent="0.3">
      <c r="A261" s="13"/>
      <c r="B261" s="14"/>
      <c r="C261" s="14"/>
      <c r="D261" s="14"/>
      <c r="E261" s="13"/>
      <c r="F261" s="13"/>
      <c r="G261" s="13"/>
      <c r="H261" s="15"/>
      <c r="I261" s="15"/>
      <c r="J261" s="16"/>
      <c r="K261" s="13"/>
      <c r="L261" s="13"/>
      <c r="M261" s="13"/>
    </row>
    <row r="262" spans="1:13" ht="14.25" customHeight="1" x14ac:dyDescent="0.3">
      <c r="A262" s="13"/>
      <c r="B262" s="14"/>
      <c r="C262" s="14"/>
      <c r="D262" s="14"/>
      <c r="E262" s="13"/>
      <c r="F262" s="13"/>
      <c r="G262" s="13"/>
      <c r="H262" s="15"/>
      <c r="I262" s="15"/>
      <c r="J262" s="16"/>
      <c r="K262" s="13"/>
      <c r="L262" s="13"/>
      <c r="M262" s="13"/>
    </row>
    <row r="263" spans="1:13" ht="14.25" customHeight="1" x14ac:dyDescent="0.3">
      <c r="A263" s="13"/>
      <c r="B263" s="14"/>
      <c r="C263" s="14"/>
      <c r="D263" s="14"/>
      <c r="E263" s="13"/>
      <c r="F263" s="13"/>
      <c r="G263" s="13"/>
      <c r="H263" s="15"/>
      <c r="I263" s="15"/>
      <c r="J263" s="16"/>
      <c r="K263" s="13"/>
      <c r="L263" s="13"/>
      <c r="M263" s="13"/>
    </row>
    <row r="264" spans="1:13" ht="14.25" customHeight="1" x14ac:dyDescent="0.3">
      <c r="A264" s="13"/>
      <c r="B264" s="14"/>
      <c r="C264" s="14"/>
      <c r="D264" s="14"/>
      <c r="E264" s="13"/>
      <c r="F264" s="13"/>
      <c r="G264" s="13"/>
      <c r="H264" s="15"/>
      <c r="I264" s="15"/>
      <c r="J264" s="16"/>
      <c r="K264" s="13"/>
      <c r="L264" s="13"/>
      <c r="M264" s="13"/>
    </row>
    <row r="265" spans="1:13" ht="14.25" customHeight="1" x14ac:dyDescent="0.3">
      <c r="A265" s="13"/>
      <c r="B265" s="14"/>
      <c r="C265" s="14"/>
      <c r="D265" s="14"/>
      <c r="E265" s="13"/>
      <c r="F265" s="13"/>
      <c r="G265" s="13"/>
      <c r="H265" s="15"/>
      <c r="I265" s="15"/>
      <c r="J265" s="16"/>
      <c r="K265" s="13"/>
      <c r="L265" s="13"/>
      <c r="M265" s="13"/>
    </row>
    <row r="266" spans="1:13" ht="14.25" customHeight="1" x14ac:dyDescent="0.3">
      <c r="A266" s="13"/>
      <c r="B266" s="14"/>
      <c r="C266" s="14"/>
      <c r="D266" s="14"/>
      <c r="E266" s="13"/>
      <c r="F266" s="13"/>
      <c r="G266" s="13"/>
      <c r="H266" s="15"/>
      <c r="I266" s="15"/>
      <c r="J266" s="16"/>
      <c r="K266" s="13"/>
      <c r="L266" s="13"/>
      <c r="M266" s="13"/>
    </row>
    <row r="267" spans="1:13" ht="14.25" customHeight="1" x14ac:dyDescent="0.3">
      <c r="A267" s="13"/>
      <c r="B267" s="14"/>
      <c r="C267" s="14"/>
      <c r="D267" s="14"/>
      <c r="E267" s="13"/>
      <c r="F267" s="13"/>
      <c r="G267" s="13"/>
      <c r="H267" s="15"/>
      <c r="I267" s="15"/>
      <c r="J267" s="16"/>
      <c r="K267" s="13"/>
      <c r="L267" s="13"/>
      <c r="M267" s="13"/>
    </row>
    <row r="268" spans="1:13" ht="14.25" customHeight="1" x14ac:dyDescent="0.3">
      <c r="A268" s="13"/>
      <c r="B268" s="14"/>
      <c r="C268" s="14"/>
      <c r="D268" s="14"/>
      <c r="E268" s="13"/>
      <c r="F268" s="13"/>
      <c r="G268" s="13"/>
      <c r="H268" s="15"/>
      <c r="I268" s="15"/>
      <c r="J268" s="16"/>
      <c r="K268" s="13"/>
      <c r="L268" s="13"/>
      <c r="M268" s="13"/>
    </row>
    <row r="269" spans="1:13" ht="14.25" customHeight="1" x14ac:dyDescent="0.3">
      <c r="A269" s="13"/>
      <c r="B269" s="14"/>
      <c r="C269" s="14"/>
      <c r="D269" s="14"/>
      <c r="E269" s="13"/>
      <c r="F269" s="13"/>
      <c r="G269" s="13"/>
      <c r="H269" s="15"/>
      <c r="I269" s="15"/>
      <c r="J269" s="16"/>
      <c r="K269" s="13"/>
      <c r="L269" s="13"/>
      <c r="M269" s="13"/>
    </row>
    <row r="270" spans="1:13" ht="14.25" customHeight="1" x14ac:dyDescent="0.3">
      <c r="A270" s="13"/>
      <c r="B270" s="14"/>
      <c r="C270" s="14"/>
      <c r="D270" s="14"/>
      <c r="E270" s="13"/>
      <c r="F270" s="13"/>
      <c r="G270" s="13"/>
      <c r="H270" s="15"/>
      <c r="I270" s="15"/>
      <c r="J270" s="16"/>
      <c r="K270" s="13"/>
      <c r="L270" s="13"/>
      <c r="M270" s="13"/>
    </row>
    <row r="271" spans="1:13" ht="14.25" customHeight="1" x14ac:dyDescent="0.3">
      <c r="A271" s="13"/>
      <c r="B271" s="14"/>
      <c r="C271" s="14"/>
      <c r="D271" s="14"/>
      <c r="E271" s="13"/>
      <c r="F271" s="13"/>
      <c r="G271" s="13"/>
      <c r="H271" s="15"/>
      <c r="I271" s="15"/>
      <c r="J271" s="16"/>
      <c r="K271" s="13"/>
      <c r="L271" s="13"/>
      <c r="M271" s="13"/>
    </row>
    <row r="272" spans="1:13" ht="14.25" customHeight="1" x14ac:dyDescent="0.3">
      <c r="A272" s="13"/>
      <c r="B272" s="14"/>
      <c r="C272" s="14"/>
      <c r="D272" s="14"/>
      <c r="E272" s="13"/>
      <c r="F272" s="13"/>
      <c r="G272" s="13"/>
      <c r="H272" s="15"/>
      <c r="I272" s="15"/>
      <c r="J272" s="16"/>
      <c r="K272" s="13"/>
      <c r="L272" s="13"/>
      <c r="M272" s="13"/>
    </row>
    <row r="273" spans="1:13" ht="14.25" customHeight="1" x14ac:dyDescent="0.3">
      <c r="A273" s="13"/>
      <c r="B273" s="14"/>
      <c r="C273" s="14"/>
      <c r="D273" s="14"/>
      <c r="E273" s="13"/>
      <c r="F273" s="13"/>
      <c r="G273" s="13"/>
      <c r="H273" s="15"/>
      <c r="I273" s="15"/>
      <c r="J273" s="16"/>
      <c r="K273" s="13"/>
      <c r="L273" s="13"/>
      <c r="M273" s="13"/>
    </row>
    <row r="274" spans="1:13" ht="14.25" customHeight="1" x14ac:dyDescent="0.3">
      <c r="A274" s="13"/>
      <c r="B274" s="14"/>
      <c r="C274" s="14"/>
      <c r="D274" s="14"/>
      <c r="E274" s="13"/>
      <c r="F274" s="13"/>
      <c r="G274" s="13"/>
      <c r="H274" s="15"/>
      <c r="I274" s="15"/>
      <c r="J274" s="16"/>
      <c r="K274" s="13"/>
      <c r="L274" s="13"/>
      <c r="M274" s="13"/>
    </row>
    <row r="275" spans="1:13" ht="14.25" customHeight="1" x14ac:dyDescent="0.3">
      <c r="A275" s="13"/>
      <c r="B275" s="14"/>
      <c r="C275" s="14"/>
      <c r="D275" s="14"/>
      <c r="E275" s="13"/>
      <c r="F275" s="13"/>
      <c r="G275" s="13"/>
      <c r="H275" s="15"/>
      <c r="I275" s="15"/>
      <c r="J275" s="16"/>
      <c r="K275" s="13"/>
      <c r="L275" s="13"/>
      <c r="M275" s="13"/>
    </row>
    <row r="276" spans="1:13" ht="14.25" customHeight="1" x14ac:dyDescent="0.3">
      <c r="A276" s="13"/>
      <c r="B276" s="14"/>
      <c r="C276" s="14"/>
      <c r="D276" s="14"/>
      <c r="E276" s="13"/>
      <c r="F276" s="13"/>
      <c r="G276" s="13"/>
      <c r="H276" s="15"/>
      <c r="I276" s="15"/>
      <c r="J276" s="16"/>
      <c r="K276" s="13"/>
      <c r="L276" s="13"/>
      <c r="M276" s="13"/>
    </row>
    <row r="277" spans="1:13" ht="14.25" customHeight="1" x14ac:dyDescent="0.3">
      <c r="A277" s="13"/>
      <c r="B277" s="14"/>
      <c r="C277" s="14"/>
      <c r="D277" s="14"/>
      <c r="E277" s="13"/>
      <c r="F277" s="13"/>
      <c r="G277" s="13"/>
      <c r="H277" s="15"/>
      <c r="I277" s="15"/>
      <c r="J277" s="16"/>
      <c r="K277" s="13"/>
      <c r="L277" s="13"/>
      <c r="M277" s="13"/>
    </row>
    <row r="278" spans="1:13" ht="14.25" customHeight="1" x14ac:dyDescent="0.3">
      <c r="A278" s="13"/>
      <c r="B278" s="14"/>
      <c r="C278" s="14"/>
      <c r="D278" s="14"/>
      <c r="E278" s="13"/>
      <c r="F278" s="13"/>
      <c r="G278" s="13"/>
      <c r="H278" s="15"/>
      <c r="I278" s="15"/>
      <c r="J278" s="16"/>
      <c r="K278" s="13"/>
      <c r="L278" s="13"/>
      <c r="M278" s="13"/>
    </row>
    <row r="279" spans="1:13" ht="14.25" customHeight="1" x14ac:dyDescent="0.3">
      <c r="A279" s="13"/>
      <c r="B279" s="14"/>
      <c r="C279" s="14"/>
      <c r="D279" s="14"/>
      <c r="E279" s="13"/>
      <c r="F279" s="13"/>
      <c r="G279" s="13"/>
      <c r="H279" s="15"/>
      <c r="I279" s="15"/>
      <c r="J279" s="16"/>
      <c r="K279" s="13"/>
      <c r="L279" s="13"/>
      <c r="M279" s="13"/>
    </row>
    <row r="280" spans="1:13" ht="14.25" customHeight="1" x14ac:dyDescent="0.3">
      <c r="A280" s="13"/>
      <c r="B280" s="14"/>
      <c r="C280" s="14"/>
      <c r="D280" s="14"/>
      <c r="E280" s="13"/>
      <c r="F280" s="13"/>
      <c r="G280" s="13"/>
      <c r="H280" s="15"/>
      <c r="I280" s="15"/>
      <c r="J280" s="16"/>
      <c r="K280" s="13"/>
      <c r="L280" s="13"/>
      <c r="M280" s="13"/>
    </row>
    <row r="281" spans="1:13" ht="14.25" customHeight="1" x14ac:dyDescent="0.3">
      <c r="A281" s="13"/>
      <c r="B281" s="14"/>
      <c r="C281" s="14"/>
      <c r="D281" s="14"/>
      <c r="E281" s="13"/>
      <c r="F281" s="13"/>
      <c r="G281" s="13"/>
      <c r="H281" s="15"/>
      <c r="I281" s="15"/>
      <c r="J281" s="16"/>
      <c r="K281" s="13"/>
      <c r="L281" s="13"/>
      <c r="M281" s="13"/>
    </row>
    <row r="282" spans="1:13" ht="14.25" customHeight="1" x14ac:dyDescent="0.3">
      <c r="A282" s="13"/>
      <c r="B282" s="14"/>
      <c r="C282" s="14"/>
      <c r="D282" s="14"/>
      <c r="E282" s="13"/>
      <c r="F282" s="13"/>
      <c r="G282" s="13"/>
      <c r="H282" s="15"/>
      <c r="I282" s="15"/>
      <c r="J282" s="16"/>
      <c r="K282" s="13"/>
      <c r="L282" s="13"/>
      <c r="M282" s="13"/>
    </row>
    <row r="283" spans="1:13" ht="14.25" customHeight="1" x14ac:dyDescent="0.3">
      <c r="A283" s="13"/>
      <c r="B283" s="14"/>
      <c r="C283" s="14"/>
      <c r="D283" s="14"/>
      <c r="E283" s="13"/>
      <c r="F283" s="13"/>
      <c r="G283" s="13"/>
      <c r="H283" s="15"/>
      <c r="I283" s="15"/>
      <c r="J283" s="16"/>
      <c r="K283" s="13"/>
      <c r="L283" s="13"/>
      <c r="M283" s="13"/>
    </row>
    <row r="284" spans="1:13" ht="14.25" customHeight="1" x14ac:dyDescent="0.3">
      <c r="A284" s="13"/>
      <c r="B284" s="14"/>
      <c r="C284" s="14"/>
      <c r="D284" s="14"/>
      <c r="E284" s="13"/>
      <c r="F284" s="13"/>
      <c r="G284" s="13"/>
      <c r="H284" s="15"/>
      <c r="I284" s="15"/>
      <c r="J284" s="16"/>
      <c r="K284" s="13"/>
      <c r="L284" s="13"/>
      <c r="M284" s="13"/>
    </row>
    <row r="285" spans="1:13" ht="14.25" customHeight="1" x14ac:dyDescent="0.3">
      <c r="A285" s="13"/>
      <c r="B285" s="14"/>
      <c r="C285" s="14"/>
      <c r="D285" s="14"/>
      <c r="E285" s="13"/>
      <c r="F285" s="13"/>
      <c r="G285" s="13"/>
      <c r="H285" s="15"/>
      <c r="I285" s="15"/>
      <c r="J285" s="16"/>
      <c r="K285" s="13"/>
      <c r="L285" s="13"/>
      <c r="M285" s="13"/>
    </row>
    <row r="286" spans="1:13" ht="14.25" customHeight="1" x14ac:dyDescent="0.3">
      <c r="A286" s="13"/>
      <c r="B286" s="14"/>
      <c r="C286" s="14"/>
      <c r="D286" s="14"/>
      <c r="E286" s="13"/>
      <c r="F286" s="13"/>
      <c r="G286" s="13"/>
      <c r="H286" s="15"/>
      <c r="I286" s="15"/>
      <c r="J286" s="16"/>
      <c r="K286" s="13"/>
      <c r="L286" s="13"/>
      <c r="M286" s="13"/>
    </row>
    <row r="287" spans="1:13" ht="14.25" customHeight="1" x14ac:dyDescent="0.3">
      <c r="A287" s="13"/>
      <c r="B287" s="14"/>
      <c r="C287" s="14"/>
      <c r="D287" s="14"/>
      <c r="E287" s="13"/>
      <c r="F287" s="13"/>
      <c r="G287" s="13"/>
      <c r="H287" s="15"/>
      <c r="I287" s="15"/>
      <c r="J287" s="16"/>
      <c r="K287" s="13"/>
      <c r="L287" s="13"/>
      <c r="M287" s="13"/>
    </row>
    <row r="288" spans="1:13" ht="14.25" customHeight="1" x14ac:dyDescent="0.3">
      <c r="A288" s="13"/>
      <c r="B288" s="14"/>
      <c r="C288" s="14"/>
      <c r="D288" s="14"/>
      <c r="E288" s="13"/>
      <c r="F288" s="13"/>
      <c r="G288" s="13"/>
      <c r="H288" s="15"/>
      <c r="I288" s="15"/>
      <c r="J288" s="16"/>
      <c r="K288" s="13"/>
      <c r="L288" s="13"/>
      <c r="M288" s="13"/>
    </row>
    <row r="289" spans="1:13" ht="14.25" customHeight="1" x14ac:dyDescent="0.3">
      <c r="A289" s="13"/>
      <c r="B289" s="14"/>
      <c r="C289" s="14"/>
      <c r="D289" s="14"/>
      <c r="E289" s="13"/>
      <c r="F289" s="13"/>
      <c r="G289" s="13"/>
      <c r="H289" s="15"/>
      <c r="I289" s="15"/>
      <c r="J289" s="16"/>
      <c r="K289" s="13"/>
      <c r="L289" s="13"/>
      <c r="M289" s="13"/>
    </row>
    <row r="290" spans="1:13" ht="14.25" customHeight="1" x14ac:dyDescent="0.3">
      <c r="A290" s="13"/>
      <c r="B290" s="14"/>
      <c r="C290" s="14"/>
      <c r="D290" s="14"/>
      <c r="E290" s="13"/>
      <c r="F290" s="13"/>
      <c r="G290" s="13"/>
      <c r="H290" s="15"/>
      <c r="I290" s="15"/>
      <c r="J290" s="16"/>
      <c r="K290" s="13"/>
      <c r="L290" s="13"/>
      <c r="M290" s="13"/>
    </row>
    <row r="291" spans="1:13" ht="14.25" customHeight="1" x14ac:dyDescent="0.3">
      <c r="A291" s="13"/>
      <c r="B291" s="14"/>
      <c r="C291" s="14"/>
      <c r="D291" s="14"/>
      <c r="E291" s="13"/>
      <c r="F291" s="13"/>
      <c r="G291" s="13"/>
      <c r="H291" s="15"/>
      <c r="I291" s="15"/>
      <c r="J291" s="16"/>
      <c r="K291" s="13"/>
      <c r="L291" s="13"/>
      <c r="M291" s="13"/>
    </row>
    <row r="292" spans="1:13" ht="14.25" customHeight="1" x14ac:dyDescent="0.3">
      <c r="A292" s="13"/>
      <c r="B292" s="14"/>
      <c r="C292" s="14"/>
      <c r="D292" s="14"/>
      <c r="E292" s="13"/>
      <c r="F292" s="13"/>
      <c r="G292" s="13"/>
      <c r="H292" s="15"/>
      <c r="I292" s="15"/>
      <c r="J292" s="16"/>
      <c r="K292" s="13"/>
      <c r="L292" s="13"/>
      <c r="M292" s="13"/>
    </row>
    <row r="293" spans="1:13" ht="14.25" customHeight="1" x14ac:dyDescent="0.3">
      <c r="A293" s="13"/>
      <c r="B293" s="14"/>
      <c r="C293" s="14"/>
      <c r="D293" s="14"/>
      <c r="E293" s="13"/>
      <c r="F293" s="13"/>
      <c r="G293" s="13"/>
      <c r="H293" s="15"/>
      <c r="I293" s="15"/>
      <c r="J293" s="16"/>
      <c r="K293" s="13"/>
      <c r="L293" s="13"/>
      <c r="M293" s="13"/>
    </row>
    <row r="294" spans="1:13" ht="14.25" customHeight="1" x14ac:dyDescent="0.3">
      <c r="A294" s="13"/>
      <c r="B294" s="14"/>
      <c r="C294" s="14"/>
      <c r="D294" s="14"/>
      <c r="E294" s="13"/>
      <c r="F294" s="13"/>
      <c r="G294" s="13"/>
      <c r="H294" s="15"/>
      <c r="I294" s="15"/>
      <c r="J294" s="16"/>
      <c r="K294" s="13"/>
      <c r="L294" s="13"/>
      <c r="M294" s="13"/>
    </row>
    <row r="295" spans="1:13" ht="14.25" customHeight="1" x14ac:dyDescent="0.3">
      <c r="A295" s="13"/>
      <c r="B295" s="14"/>
      <c r="C295" s="14"/>
      <c r="D295" s="14"/>
      <c r="E295" s="13"/>
      <c r="F295" s="13"/>
      <c r="G295" s="13"/>
      <c r="H295" s="15"/>
      <c r="I295" s="15"/>
      <c r="J295" s="16"/>
      <c r="K295" s="13"/>
      <c r="L295" s="13"/>
      <c r="M295" s="13"/>
    </row>
    <row r="296" spans="1:13" ht="14.25" customHeight="1" x14ac:dyDescent="0.3">
      <c r="A296" s="13"/>
      <c r="B296" s="14"/>
      <c r="C296" s="14"/>
      <c r="D296" s="14"/>
      <c r="E296" s="13"/>
      <c r="F296" s="13"/>
      <c r="G296" s="13"/>
      <c r="H296" s="15"/>
      <c r="I296" s="15"/>
      <c r="J296" s="16"/>
      <c r="K296" s="13"/>
      <c r="L296" s="13"/>
      <c r="M296" s="13"/>
    </row>
    <row r="297" spans="1:13" ht="14.25" customHeight="1" x14ac:dyDescent="0.3">
      <c r="A297" s="13"/>
      <c r="B297" s="14"/>
      <c r="C297" s="14"/>
      <c r="D297" s="14"/>
      <c r="E297" s="13"/>
      <c r="F297" s="13"/>
      <c r="G297" s="13"/>
      <c r="H297" s="15"/>
      <c r="I297" s="15"/>
      <c r="J297" s="16"/>
      <c r="K297" s="13"/>
      <c r="L297" s="13"/>
      <c r="M297" s="13"/>
    </row>
    <row r="298" spans="1:13" ht="14.25" customHeight="1" x14ac:dyDescent="0.3">
      <c r="A298" s="13"/>
      <c r="B298" s="14"/>
      <c r="C298" s="14"/>
      <c r="D298" s="14"/>
      <c r="E298" s="13"/>
      <c r="F298" s="13"/>
      <c r="G298" s="13"/>
      <c r="H298" s="15"/>
      <c r="I298" s="15"/>
      <c r="J298" s="16"/>
      <c r="K298" s="13"/>
      <c r="L298" s="13"/>
      <c r="M298" s="13"/>
    </row>
    <row r="299" spans="1:13" ht="14.25" customHeight="1" x14ac:dyDescent="0.3">
      <c r="A299" s="13"/>
      <c r="B299" s="14"/>
      <c r="C299" s="14"/>
      <c r="D299" s="14"/>
      <c r="E299" s="13"/>
      <c r="F299" s="13"/>
      <c r="G299" s="13"/>
      <c r="H299" s="15"/>
      <c r="I299" s="15"/>
      <c r="J299" s="16"/>
      <c r="K299" s="13"/>
      <c r="L299" s="13"/>
      <c r="M299" s="13"/>
    </row>
    <row r="300" spans="1:13" ht="14.25" customHeight="1" x14ac:dyDescent="0.3">
      <c r="A300" s="13"/>
      <c r="B300" s="14"/>
      <c r="C300" s="14"/>
      <c r="D300" s="14"/>
      <c r="E300" s="13"/>
      <c r="F300" s="13"/>
      <c r="G300" s="13"/>
      <c r="H300" s="15"/>
      <c r="I300" s="15"/>
      <c r="J300" s="16"/>
      <c r="K300" s="13"/>
      <c r="L300" s="13"/>
      <c r="M300" s="13"/>
    </row>
    <row r="301" spans="1:13" ht="14.25" customHeight="1" x14ac:dyDescent="0.3">
      <c r="A301" s="13"/>
      <c r="B301" s="14"/>
      <c r="C301" s="14"/>
      <c r="D301" s="14"/>
      <c r="E301" s="13"/>
      <c r="F301" s="13"/>
      <c r="G301" s="13"/>
      <c r="H301" s="15"/>
      <c r="I301" s="15"/>
      <c r="J301" s="16"/>
      <c r="K301" s="13"/>
      <c r="L301" s="13"/>
      <c r="M301" s="13"/>
    </row>
    <row r="302" spans="1:13" ht="14.25" customHeight="1" x14ac:dyDescent="0.3">
      <c r="A302" s="13"/>
      <c r="B302" s="14"/>
      <c r="C302" s="14"/>
      <c r="D302" s="14"/>
      <c r="E302" s="13"/>
      <c r="F302" s="13"/>
      <c r="G302" s="13"/>
      <c r="H302" s="15"/>
      <c r="I302" s="15"/>
      <c r="J302" s="16"/>
      <c r="K302" s="13"/>
      <c r="L302" s="13"/>
      <c r="M302" s="13"/>
    </row>
    <row r="303" spans="1:13" ht="14.25" customHeight="1" x14ac:dyDescent="0.3">
      <c r="A303" s="13"/>
      <c r="B303" s="14"/>
      <c r="C303" s="14"/>
      <c r="D303" s="14"/>
      <c r="E303" s="13"/>
      <c r="F303" s="13"/>
      <c r="G303" s="13"/>
      <c r="H303" s="15"/>
      <c r="I303" s="15"/>
      <c r="J303" s="16"/>
      <c r="K303" s="13"/>
      <c r="L303" s="13"/>
      <c r="M303" s="13"/>
    </row>
    <row r="304" spans="1:13" ht="14.25" customHeight="1" x14ac:dyDescent="0.3">
      <c r="A304" s="13"/>
      <c r="B304" s="14"/>
      <c r="C304" s="14"/>
      <c r="D304" s="14"/>
      <c r="E304" s="13"/>
      <c r="F304" s="13"/>
      <c r="G304" s="13"/>
      <c r="H304" s="15"/>
      <c r="I304" s="15"/>
      <c r="J304" s="16"/>
      <c r="K304" s="13"/>
      <c r="L304" s="13"/>
      <c r="M304" s="13"/>
    </row>
    <row r="305" spans="1:13" ht="14.25" customHeight="1" x14ac:dyDescent="0.3">
      <c r="A305" s="13"/>
      <c r="B305" s="14"/>
      <c r="C305" s="14"/>
      <c r="D305" s="14"/>
      <c r="E305" s="13"/>
      <c r="F305" s="13"/>
      <c r="G305" s="13"/>
      <c r="H305" s="15"/>
      <c r="I305" s="15"/>
      <c r="J305" s="16"/>
      <c r="K305" s="13"/>
      <c r="L305" s="13"/>
      <c r="M305" s="13"/>
    </row>
    <row r="306" spans="1:13" ht="14.25" customHeight="1" x14ac:dyDescent="0.3">
      <c r="A306" s="13"/>
      <c r="B306" s="14"/>
      <c r="C306" s="14"/>
      <c r="D306" s="14"/>
      <c r="E306" s="13"/>
      <c r="F306" s="13"/>
      <c r="G306" s="13"/>
      <c r="H306" s="15"/>
      <c r="I306" s="15"/>
      <c r="J306" s="16"/>
      <c r="K306" s="13"/>
      <c r="L306" s="13"/>
      <c r="M306" s="13"/>
    </row>
    <row r="307" spans="1:13" ht="14.25" customHeight="1" x14ac:dyDescent="0.3">
      <c r="A307" s="13"/>
      <c r="B307" s="14"/>
      <c r="C307" s="14"/>
      <c r="D307" s="14"/>
      <c r="E307" s="13"/>
      <c r="F307" s="13"/>
      <c r="G307" s="13"/>
      <c r="H307" s="15"/>
      <c r="I307" s="15"/>
      <c r="J307" s="16"/>
      <c r="K307" s="13"/>
      <c r="L307" s="13"/>
      <c r="M307" s="13"/>
    </row>
    <row r="308" spans="1:13" ht="14.25" customHeight="1" x14ac:dyDescent="0.3">
      <c r="A308" s="13"/>
      <c r="B308" s="14"/>
      <c r="C308" s="14"/>
      <c r="D308" s="14"/>
      <c r="E308" s="13"/>
      <c r="F308" s="13"/>
      <c r="G308" s="13"/>
      <c r="H308" s="15"/>
      <c r="I308" s="15"/>
      <c r="J308" s="16"/>
      <c r="K308" s="13"/>
      <c r="L308" s="13"/>
      <c r="M308" s="13"/>
    </row>
    <row r="309" spans="1:13" ht="14.25" customHeight="1" x14ac:dyDescent="0.3">
      <c r="A309" s="13"/>
      <c r="B309" s="14"/>
      <c r="C309" s="14"/>
      <c r="D309" s="14"/>
      <c r="E309" s="13"/>
      <c r="F309" s="13"/>
      <c r="G309" s="13"/>
      <c r="H309" s="15"/>
      <c r="I309" s="15"/>
      <c r="J309" s="16"/>
      <c r="K309" s="13"/>
      <c r="L309" s="13"/>
      <c r="M309" s="13"/>
    </row>
    <row r="310" spans="1:13" ht="14.25" customHeight="1" x14ac:dyDescent="0.3">
      <c r="A310" s="13"/>
      <c r="B310" s="14"/>
      <c r="C310" s="14"/>
      <c r="D310" s="14"/>
      <c r="E310" s="13"/>
      <c r="F310" s="13"/>
      <c r="G310" s="13"/>
      <c r="H310" s="15"/>
      <c r="I310" s="15"/>
      <c r="J310" s="16"/>
      <c r="K310" s="13"/>
      <c r="L310" s="13"/>
      <c r="M310" s="13"/>
    </row>
    <row r="311" spans="1:13" ht="14.25" customHeight="1" x14ac:dyDescent="0.3">
      <c r="A311" s="13"/>
      <c r="B311" s="14"/>
      <c r="C311" s="14"/>
      <c r="D311" s="14"/>
      <c r="E311" s="13"/>
      <c r="F311" s="13"/>
      <c r="G311" s="13"/>
      <c r="H311" s="15"/>
      <c r="I311" s="15"/>
      <c r="J311" s="16"/>
      <c r="K311" s="13"/>
      <c r="L311" s="13"/>
      <c r="M311" s="13"/>
    </row>
    <row r="312" spans="1:13" ht="14.25" customHeight="1" x14ac:dyDescent="0.3">
      <c r="A312" s="13"/>
      <c r="B312" s="14"/>
      <c r="C312" s="14"/>
      <c r="D312" s="14"/>
      <c r="E312" s="13"/>
      <c r="F312" s="13"/>
      <c r="G312" s="13"/>
      <c r="H312" s="15"/>
      <c r="I312" s="15"/>
      <c r="J312" s="16"/>
      <c r="K312" s="13"/>
      <c r="L312" s="13"/>
      <c r="M312" s="13"/>
    </row>
    <row r="313" spans="1:13" ht="14.25" customHeight="1" x14ac:dyDescent="0.3">
      <c r="A313" s="13"/>
      <c r="B313" s="14"/>
      <c r="C313" s="14"/>
      <c r="D313" s="14"/>
      <c r="E313" s="13"/>
      <c r="F313" s="13"/>
      <c r="G313" s="13"/>
      <c r="H313" s="15"/>
      <c r="I313" s="15"/>
      <c r="J313" s="16"/>
      <c r="K313" s="13"/>
      <c r="L313" s="13"/>
      <c r="M313" s="13"/>
    </row>
    <row r="314" spans="1:13" ht="14.25" customHeight="1" x14ac:dyDescent="0.3">
      <c r="A314" s="13"/>
      <c r="B314" s="14"/>
      <c r="C314" s="14"/>
      <c r="D314" s="14"/>
      <c r="E314" s="13"/>
      <c r="F314" s="13"/>
      <c r="G314" s="13"/>
      <c r="H314" s="15"/>
      <c r="I314" s="15"/>
      <c r="J314" s="16"/>
      <c r="K314" s="13"/>
      <c r="L314" s="13"/>
      <c r="M314" s="13"/>
    </row>
    <row r="315" spans="1:13" ht="14.25" customHeight="1" x14ac:dyDescent="0.3">
      <c r="A315" s="13"/>
      <c r="B315" s="14"/>
      <c r="C315" s="14"/>
      <c r="D315" s="14"/>
      <c r="E315" s="13"/>
      <c r="F315" s="13"/>
      <c r="G315" s="13"/>
      <c r="H315" s="15"/>
      <c r="I315" s="15"/>
      <c r="J315" s="16"/>
      <c r="K315" s="13"/>
      <c r="L315" s="13"/>
      <c r="M315" s="13"/>
    </row>
    <row r="316" spans="1:13" ht="14.25" customHeight="1" x14ac:dyDescent="0.3">
      <c r="A316" s="13"/>
      <c r="B316" s="14"/>
      <c r="C316" s="14"/>
      <c r="D316" s="14"/>
      <c r="E316" s="13"/>
      <c r="F316" s="13"/>
      <c r="G316" s="13"/>
      <c r="H316" s="15"/>
      <c r="I316" s="15"/>
      <c r="J316" s="16"/>
      <c r="K316" s="13"/>
      <c r="L316" s="13"/>
      <c r="M316" s="13"/>
    </row>
    <row r="317" spans="1:13" ht="14.25" customHeight="1" x14ac:dyDescent="0.3">
      <c r="A317" s="13"/>
      <c r="B317" s="14"/>
      <c r="C317" s="14"/>
      <c r="D317" s="14"/>
      <c r="E317" s="13"/>
      <c r="F317" s="13"/>
      <c r="G317" s="13"/>
      <c r="H317" s="15"/>
      <c r="I317" s="15"/>
      <c r="J317" s="16"/>
      <c r="K317" s="13"/>
      <c r="L317" s="13"/>
      <c r="M317" s="13"/>
    </row>
    <row r="318" spans="1:13" ht="14.25" customHeight="1" x14ac:dyDescent="0.3">
      <c r="A318" s="13"/>
      <c r="B318" s="14"/>
      <c r="C318" s="14"/>
      <c r="D318" s="14"/>
      <c r="E318" s="13"/>
      <c r="F318" s="13"/>
      <c r="G318" s="13"/>
      <c r="H318" s="15"/>
      <c r="I318" s="15"/>
      <c r="J318" s="16"/>
      <c r="K318" s="13"/>
      <c r="L318" s="13"/>
      <c r="M318" s="13"/>
    </row>
    <row r="319" spans="1:13" ht="14.25" customHeight="1" x14ac:dyDescent="0.3">
      <c r="A319" s="13"/>
      <c r="B319" s="14"/>
      <c r="C319" s="14"/>
      <c r="D319" s="14"/>
      <c r="E319" s="13"/>
      <c r="F319" s="13"/>
      <c r="G319" s="13"/>
      <c r="H319" s="15"/>
      <c r="I319" s="15"/>
      <c r="J319" s="16"/>
      <c r="K319" s="13"/>
      <c r="L319" s="13"/>
      <c r="M319" s="13"/>
    </row>
    <row r="320" spans="1:13" ht="14.25" customHeight="1" x14ac:dyDescent="0.3">
      <c r="A320" s="13"/>
      <c r="B320" s="14"/>
      <c r="C320" s="14"/>
      <c r="D320" s="14"/>
      <c r="E320" s="13"/>
      <c r="F320" s="13"/>
      <c r="G320" s="13"/>
      <c r="H320" s="15"/>
      <c r="I320" s="15"/>
      <c r="J320" s="16"/>
      <c r="K320" s="13"/>
      <c r="L320" s="13"/>
      <c r="M320" s="13"/>
    </row>
    <row r="321" spans="1:13" ht="14.25" customHeight="1" x14ac:dyDescent="0.3">
      <c r="A321" s="13"/>
      <c r="B321" s="14"/>
      <c r="C321" s="14"/>
      <c r="D321" s="14"/>
      <c r="E321" s="13"/>
      <c r="F321" s="13"/>
      <c r="G321" s="13"/>
      <c r="H321" s="15"/>
      <c r="I321" s="15"/>
      <c r="J321" s="16"/>
      <c r="K321" s="13"/>
      <c r="L321" s="13"/>
      <c r="M321" s="13"/>
    </row>
    <row r="322" spans="1:13" ht="14.25" customHeight="1" x14ac:dyDescent="0.3">
      <c r="A322" s="13"/>
      <c r="B322" s="14"/>
      <c r="C322" s="14"/>
      <c r="D322" s="14"/>
      <c r="E322" s="13"/>
      <c r="F322" s="13"/>
      <c r="G322" s="13"/>
      <c r="H322" s="15"/>
      <c r="I322" s="15"/>
      <c r="J322" s="16"/>
      <c r="K322" s="13"/>
      <c r="L322" s="13"/>
      <c r="M322" s="13"/>
    </row>
    <row r="323" spans="1:13" ht="14.25" customHeight="1" x14ac:dyDescent="0.3">
      <c r="A323" s="13"/>
      <c r="B323" s="14"/>
      <c r="C323" s="14"/>
      <c r="D323" s="14"/>
      <c r="E323" s="13"/>
      <c r="F323" s="13"/>
      <c r="G323" s="13"/>
      <c r="H323" s="15"/>
      <c r="I323" s="15"/>
      <c r="J323" s="16"/>
      <c r="K323" s="13"/>
      <c r="L323" s="13"/>
      <c r="M323" s="13"/>
    </row>
    <row r="324" spans="1:13" ht="14.25" customHeight="1" x14ac:dyDescent="0.3">
      <c r="A324" s="13"/>
      <c r="B324" s="14"/>
      <c r="C324" s="14"/>
      <c r="D324" s="14"/>
      <c r="E324" s="13"/>
      <c r="F324" s="13"/>
      <c r="G324" s="13"/>
      <c r="H324" s="15"/>
      <c r="I324" s="15"/>
      <c r="J324" s="16"/>
      <c r="K324" s="13"/>
      <c r="L324" s="13"/>
      <c r="M324" s="13"/>
    </row>
    <row r="325" spans="1:13" ht="14.25" customHeight="1" x14ac:dyDescent="0.3">
      <c r="A325" s="13"/>
      <c r="B325" s="14"/>
      <c r="C325" s="14"/>
      <c r="D325" s="14"/>
      <c r="E325" s="13"/>
      <c r="F325" s="13"/>
      <c r="G325" s="13"/>
      <c r="H325" s="15"/>
      <c r="I325" s="15"/>
      <c r="J325" s="16"/>
      <c r="K325" s="13"/>
      <c r="L325" s="13"/>
      <c r="M325" s="13"/>
    </row>
    <row r="326" spans="1:13" ht="14.25" customHeight="1" x14ac:dyDescent="0.3">
      <c r="A326" s="13"/>
      <c r="B326" s="14"/>
      <c r="C326" s="14"/>
      <c r="D326" s="14"/>
      <c r="E326" s="13"/>
      <c r="F326" s="13"/>
      <c r="G326" s="13"/>
      <c r="H326" s="15"/>
      <c r="I326" s="15"/>
      <c r="J326" s="16"/>
      <c r="K326" s="13"/>
      <c r="L326" s="13"/>
      <c r="M326" s="13"/>
    </row>
    <row r="327" spans="1:13" ht="14.25" customHeight="1" x14ac:dyDescent="0.3">
      <c r="A327" s="13"/>
      <c r="B327" s="14"/>
      <c r="C327" s="14"/>
      <c r="D327" s="14"/>
      <c r="E327" s="13"/>
      <c r="F327" s="13"/>
      <c r="G327" s="13"/>
      <c r="H327" s="15"/>
      <c r="I327" s="15"/>
      <c r="J327" s="16"/>
      <c r="K327" s="13"/>
      <c r="L327" s="13"/>
      <c r="M327" s="13"/>
    </row>
    <row r="328" spans="1:13" ht="14.25" customHeight="1" x14ac:dyDescent="0.3">
      <c r="A328" s="13"/>
      <c r="B328" s="14"/>
      <c r="C328" s="14"/>
      <c r="D328" s="14"/>
      <c r="E328" s="13"/>
      <c r="F328" s="13"/>
      <c r="G328" s="13"/>
      <c r="H328" s="15"/>
      <c r="I328" s="15"/>
      <c r="J328" s="16"/>
      <c r="K328" s="13"/>
      <c r="L328" s="13"/>
      <c r="M328" s="13"/>
    </row>
    <row r="329" spans="1:13" ht="14.25" customHeight="1" x14ac:dyDescent="0.3">
      <c r="A329" s="13"/>
      <c r="B329" s="14"/>
      <c r="C329" s="14"/>
      <c r="D329" s="14"/>
      <c r="E329" s="13"/>
      <c r="F329" s="13"/>
      <c r="G329" s="13"/>
      <c r="H329" s="15"/>
      <c r="I329" s="15"/>
      <c r="J329" s="16"/>
      <c r="K329" s="13"/>
      <c r="L329" s="13"/>
      <c r="M329" s="13"/>
    </row>
    <row r="330" spans="1:13" ht="14.25" customHeight="1" x14ac:dyDescent="0.3">
      <c r="A330" s="13"/>
      <c r="B330" s="14"/>
      <c r="C330" s="14"/>
      <c r="D330" s="14"/>
      <c r="E330" s="13"/>
      <c r="F330" s="13"/>
      <c r="G330" s="13"/>
      <c r="H330" s="15"/>
      <c r="I330" s="15"/>
      <c r="J330" s="16"/>
      <c r="K330" s="13"/>
      <c r="L330" s="13"/>
      <c r="M330" s="13"/>
    </row>
    <row r="331" spans="1:13" ht="14.25" customHeight="1" x14ac:dyDescent="0.3">
      <c r="A331" s="13"/>
      <c r="B331" s="14"/>
      <c r="C331" s="14"/>
      <c r="D331" s="14"/>
      <c r="E331" s="13"/>
      <c r="F331" s="13"/>
      <c r="G331" s="13"/>
      <c r="H331" s="15"/>
      <c r="I331" s="15"/>
      <c r="J331" s="16"/>
      <c r="K331" s="13"/>
      <c r="L331" s="13"/>
      <c r="M331" s="13"/>
    </row>
    <row r="332" spans="1:13" ht="14.25" customHeight="1" x14ac:dyDescent="0.3">
      <c r="A332" s="13"/>
      <c r="B332" s="14"/>
      <c r="C332" s="14"/>
      <c r="D332" s="14"/>
      <c r="E332" s="13"/>
      <c r="F332" s="13"/>
      <c r="G332" s="13"/>
      <c r="H332" s="15"/>
      <c r="I332" s="15"/>
      <c r="J332" s="16"/>
      <c r="K332" s="13"/>
      <c r="L332" s="13"/>
      <c r="M332" s="13"/>
    </row>
    <row r="333" spans="1:13" ht="14.25" customHeight="1" x14ac:dyDescent="0.3">
      <c r="A333" s="13"/>
      <c r="B333" s="14"/>
      <c r="C333" s="14"/>
      <c r="D333" s="14"/>
      <c r="E333" s="13"/>
      <c r="F333" s="13"/>
      <c r="G333" s="13"/>
      <c r="H333" s="15"/>
      <c r="I333" s="15"/>
      <c r="J333" s="16"/>
      <c r="K333" s="13"/>
      <c r="L333" s="13"/>
      <c r="M333" s="13"/>
    </row>
    <row r="334" spans="1:13" ht="14.25" customHeight="1" x14ac:dyDescent="0.3">
      <c r="A334" s="13"/>
      <c r="B334" s="14"/>
      <c r="C334" s="14"/>
      <c r="D334" s="14"/>
      <c r="E334" s="13"/>
      <c r="F334" s="13"/>
      <c r="G334" s="13"/>
      <c r="H334" s="15"/>
      <c r="I334" s="15"/>
      <c r="J334" s="16"/>
      <c r="K334" s="13"/>
      <c r="L334" s="13"/>
      <c r="M334" s="13"/>
    </row>
    <row r="335" spans="1:13" ht="14.25" customHeight="1" x14ac:dyDescent="0.3">
      <c r="A335" s="13"/>
      <c r="B335" s="14"/>
      <c r="C335" s="14"/>
      <c r="D335" s="14"/>
      <c r="E335" s="13"/>
      <c r="F335" s="13"/>
      <c r="G335" s="13"/>
      <c r="H335" s="15"/>
      <c r="I335" s="15"/>
      <c r="J335" s="16"/>
      <c r="K335" s="13"/>
      <c r="L335" s="13"/>
      <c r="M335" s="13"/>
    </row>
    <row r="336" spans="1:13" ht="14.25" customHeight="1" x14ac:dyDescent="0.3">
      <c r="A336" s="13"/>
      <c r="B336" s="14"/>
      <c r="C336" s="14"/>
      <c r="D336" s="14"/>
      <c r="E336" s="13"/>
      <c r="F336" s="13"/>
      <c r="G336" s="13"/>
      <c r="H336" s="15"/>
      <c r="I336" s="15"/>
      <c r="J336" s="16"/>
      <c r="K336" s="13"/>
      <c r="L336" s="13"/>
      <c r="M336" s="13"/>
    </row>
    <row r="337" spans="1:13" ht="14.25" customHeight="1" x14ac:dyDescent="0.3">
      <c r="A337" s="13"/>
      <c r="B337" s="14"/>
      <c r="C337" s="14"/>
      <c r="D337" s="14"/>
      <c r="E337" s="13"/>
      <c r="F337" s="13"/>
      <c r="G337" s="13"/>
      <c r="H337" s="15"/>
      <c r="I337" s="15"/>
      <c r="J337" s="16"/>
      <c r="K337" s="13"/>
      <c r="L337" s="13"/>
      <c r="M337" s="13"/>
    </row>
    <row r="338" spans="1:13" ht="14.25" customHeight="1" x14ac:dyDescent="0.3">
      <c r="A338" s="13"/>
      <c r="B338" s="14"/>
      <c r="C338" s="14"/>
      <c r="D338" s="14"/>
      <c r="E338" s="13"/>
      <c r="F338" s="13"/>
      <c r="G338" s="13"/>
      <c r="H338" s="15"/>
      <c r="I338" s="15"/>
      <c r="J338" s="16"/>
      <c r="K338" s="13"/>
      <c r="L338" s="13"/>
      <c r="M338" s="13"/>
    </row>
    <row r="339" spans="1:13" ht="14.25" customHeight="1" x14ac:dyDescent="0.3">
      <c r="A339" s="13"/>
      <c r="B339" s="14"/>
      <c r="C339" s="14"/>
      <c r="D339" s="14"/>
      <c r="E339" s="13"/>
      <c r="F339" s="13"/>
      <c r="G339" s="13"/>
      <c r="H339" s="15"/>
      <c r="I339" s="15"/>
      <c r="J339" s="16"/>
      <c r="K339" s="13"/>
      <c r="L339" s="13"/>
      <c r="M339" s="13"/>
    </row>
    <row r="340" spans="1:13" ht="14.25" customHeight="1" x14ac:dyDescent="0.3">
      <c r="A340" s="13"/>
      <c r="B340" s="14"/>
      <c r="C340" s="14"/>
      <c r="D340" s="14"/>
      <c r="E340" s="13"/>
      <c r="F340" s="13"/>
      <c r="G340" s="13"/>
      <c r="H340" s="15"/>
      <c r="I340" s="15"/>
      <c r="J340" s="16"/>
      <c r="K340" s="13"/>
      <c r="L340" s="13"/>
      <c r="M340" s="13"/>
    </row>
    <row r="341" spans="1:13" ht="14.25" customHeight="1" x14ac:dyDescent="0.3">
      <c r="A341" s="13"/>
      <c r="B341" s="14"/>
      <c r="C341" s="14"/>
      <c r="D341" s="14"/>
      <c r="E341" s="13"/>
      <c r="F341" s="13"/>
      <c r="G341" s="13"/>
      <c r="H341" s="15"/>
      <c r="I341" s="15"/>
      <c r="J341" s="16"/>
      <c r="K341" s="13"/>
      <c r="L341" s="13"/>
      <c r="M341" s="13"/>
    </row>
    <row r="342" spans="1:13" ht="14.25" customHeight="1" x14ac:dyDescent="0.3">
      <c r="A342" s="13"/>
      <c r="B342" s="14"/>
      <c r="C342" s="14"/>
      <c r="D342" s="14"/>
      <c r="E342" s="13"/>
      <c r="F342" s="13"/>
      <c r="G342" s="13"/>
      <c r="H342" s="15"/>
      <c r="I342" s="15"/>
      <c r="J342" s="16"/>
      <c r="K342" s="13"/>
      <c r="L342" s="13"/>
      <c r="M342" s="13"/>
    </row>
    <row r="343" spans="1:13" ht="14.25" customHeight="1" x14ac:dyDescent="0.3">
      <c r="A343" s="13"/>
      <c r="B343" s="14"/>
      <c r="C343" s="14"/>
      <c r="D343" s="14"/>
      <c r="E343" s="13"/>
      <c r="F343" s="13"/>
      <c r="G343" s="13"/>
      <c r="H343" s="15"/>
      <c r="I343" s="15"/>
      <c r="J343" s="16"/>
      <c r="K343" s="13"/>
      <c r="L343" s="13"/>
      <c r="M343" s="13"/>
    </row>
    <row r="344" spans="1:13" ht="14.25" customHeight="1" x14ac:dyDescent="0.3">
      <c r="A344" s="13"/>
      <c r="B344" s="14"/>
      <c r="C344" s="14"/>
      <c r="D344" s="14"/>
      <c r="E344" s="13"/>
      <c r="F344" s="13"/>
      <c r="G344" s="13"/>
      <c r="H344" s="15"/>
      <c r="I344" s="15"/>
      <c r="J344" s="16"/>
      <c r="K344" s="13"/>
      <c r="L344" s="13"/>
      <c r="M344" s="13"/>
    </row>
    <row r="345" spans="1:13" ht="14.25" customHeight="1" x14ac:dyDescent="0.3">
      <c r="A345" s="13"/>
      <c r="B345" s="14"/>
      <c r="C345" s="14"/>
      <c r="D345" s="14"/>
      <c r="E345" s="13"/>
      <c r="F345" s="13"/>
      <c r="G345" s="13"/>
      <c r="H345" s="15"/>
      <c r="I345" s="15"/>
      <c r="J345" s="16"/>
      <c r="K345" s="13"/>
      <c r="L345" s="13"/>
      <c r="M345" s="13"/>
    </row>
    <row r="346" spans="1:13" ht="14.25" customHeight="1" x14ac:dyDescent="0.3">
      <c r="A346" s="13"/>
      <c r="B346" s="14"/>
      <c r="C346" s="14"/>
      <c r="D346" s="14"/>
      <c r="E346" s="13"/>
      <c r="F346" s="13"/>
      <c r="G346" s="13"/>
      <c r="H346" s="15"/>
      <c r="I346" s="15"/>
      <c r="J346" s="16"/>
      <c r="K346" s="13"/>
      <c r="L346" s="13"/>
      <c r="M346" s="13"/>
    </row>
    <row r="347" spans="1:13" ht="14.25" customHeight="1" x14ac:dyDescent="0.3">
      <c r="A347" s="13"/>
      <c r="B347" s="14"/>
      <c r="C347" s="14"/>
      <c r="D347" s="14"/>
      <c r="E347" s="13"/>
      <c r="F347" s="13"/>
      <c r="G347" s="13"/>
      <c r="H347" s="15"/>
      <c r="I347" s="15"/>
      <c r="J347" s="16"/>
      <c r="K347" s="13"/>
      <c r="L347" s="13"/>
      <c r="M347" s="13"/>
    </row>
    <row r="348" spans="1:13" ht="14.25" customHeight="1" x14ac:dyDescent="0.3">
      <c r="A348" s="13"/>
      <c r="B348" s="14"/>
      <c r="C348" s="14"/>
      <c r="D348" s="14"/>
      <c r="E348" s="13"/>
      <c r="F348" s="13"/>
      <c r="G348" s="13"/>
      <c r="H348" s="15"/>
      <c r="I348" s="15"/>
      <c r="J348" s="16"/>
      <c r="K348" s="13"/>
      <c r="L348" s="13"/>
      <c r="M348" s="13"/>
    </row>
    <row r="349" spans="1:13" ht="14.25" customHeight="1" x14ac:dyDescent="0.3">
      <c r="A349" s="13"/>
      <c r="B349" s="14"/>
      <c r="C349" s="14"/>
      <c r="D349" s="14"/>
      <c r="E349" s="13"/>
      <c r="F349" s="13"/>
      <c r="G349" s="13"/>
      <c r="H349" s="15"/>
      <c r="I349" s="15"/>
      <c r="J349" s="16"/>
      <c r="K349" s="13"/>
      <c r="L349" s="13"/>
      <c r="M349" s="13"/>
    </row>
    <row r="350" spans="1:13" ht="14.25" customHeight="1" x14ac:dyDescent="0.3">
      <c r="A350" s="13"/>
      <c r="B350" s="14"/>
      <c r="C350" s="14"/>
      <c r="D350" s="14"/>
      <c r="E350" s="13"/>
      <c r="F350" s="13"/>
      <c r="G350" s="13"/>
      <c r="H350" s="15"/>
      <c r="I350" s="15"/>
      <c r="J350" s="16"/>
      <c r="K350" s="13"/>
      <c r="L350" s="13"/>
      <c r="M350" s="13"/>
    </row>
    <row r="351" spans="1:13" ht="14.25" customHeight="1" x14ac:dyDescent="0.3">
      <c r="A351" s="13"/>
      <c r="B351" s="14"/>
      <c r="C351" s="14"/>
      <c r="D351" s="14"/>
      <c r="E351" s="13"/>
      <c r="F351" s="13"/>
      <c r="G351" s="13"/>
      <c r="H351" s="15"/>
      <c r="I351" s="15"/>
      <c r="J351" s="16"/>
      <c r="K351" s="13"/>
      <c r="L351" s="13"/>
      <c r="M351" s="13"/>
    </row>
    <row r="352" spans="1:13" ht="14.25" customHeight="1" x14ac:dyDescent="0.3">
      <c r="A352" s="13"/>
      <c r="B352" s="14"/>
      <c r="C352" s="14"/>
      <c r="D352" s="14"/>
      <c r="E352" s="13"/>
      <c r="F352" s="13"/>
      <c r="G352" s="13"/>
      <c r="H352" s="15"/>
      <c r="I352" s="15"/>
      <c r="J352" s="16"/>
      <c r="K352" s="13"/>
      <c r="L352" s="13"/>
      <c r="M352" s="13"/>
    </row>
    <row r="353" spans="1:13" ht="14.25" customHeight="1" x14ac:dyDescent="0.3">
      <c r="A353" s="13"/>
      <c r="B353" s="14"/>
      <c r="C353" s="14"/>
      <c r="D353" s="14"/>
      <c r="E353" s="13"/>
      <c r="F353" s="13"/>
      <c r="G353" s="13"/>
      <c r="H353" s="15"/>
      <c r="I353" s="15"/>
      <c r="J353" s="16"/>
      <c r="K353" s="13"/>
      <c r="L353" s="13"/>
      <c r="M353" s="13"/>
    </row>
    <row r="354" spans="1:13" ht="14.25" customHeight="1" x14ac:dyDescent="0.3">
      <c r="A354" s="13"/>
      <c r="B354" s="14"/>
      <c r="C354" s="14"/>
      <c r="D354" s="14"/>
      <c r="E354" s="13"/>
      <c r="F354" s="13"/>
      <c r="G354" s="13"/>
      <c r="H354" s="15"/>
      <c r="I354" s="15"/>
      <c r="J354" s="16"/>
      <c r="K354" s="13"/>
      <c r="L354" s="13"/>
      <c r="M354" s="13"/>
    </row>
    <row r="355" spans="1:13" ht="14.25" customHeight="1" x14ac:dyDescent="0.3">
      <c r="A355" s="13"/>
      <c r="B355" s="14"/>
      <c r="C355" s="14"/>
      <c r="D355" s="14"/>
      <c r="E355" s="13"/>
      <c r="F355" s="13"/>
      <c r="G355" s="13"/>
      <c r="H355" s="15"/>
      <c r="I355" s="15"/>
      <c r="J355" s="16"/>
      <c r="K355" s="13"/>
      <c r="L355" s="13"/>
      <c r="M355" s="13"/>
    </row>
    <row r="356" spans="1:13" ht="14.25" customHeight="1" x14ac:dyDescent="0.3">
      <c r="A356" s="13"/>
      <c r="B356" s="14"/>
      <c r="C356" s="14"/>
      <c r="D356" s="14"/>
      <c r="E356" s="13"/>
      <c r="F356" s="13"/>
      <c r="G356" s="13"/>
      <c r="H356" s="15"/>
      <c r="I356" s="15"/>
      <c r="J356" s="16"/>
      <c r="K356" s="13"/>
      <c r="L356" s="13"/>
      <c r="M356" s="13"/>
    </row>
    <row r="357" spans="1:13" ht="14.25" customHeight="1" x14ac:dyDescent="0.3">
      <c r="A357" s="13"/>
      <c r="B357" s="14"/>
      <c r="C357" s="14"/>
      <c r="D357" s="14"/>
      <c r="E357" s="13"/>
      <c r="F357" s="13"/>
      <c r="G357" s="13"/>
      <c r="H357" s="15"/>
      <c r="I357" s="15"/>
      <c r="J357" s="16"/>
      <c r="K357" s="13"/>
      <c r="L357" s="13"/>
      <c r="M357" s="13"/>
    </row>
    <row r="358" spans="1:13" ht="14.25" customHeight="1" x14ac:dyDescent="0.3">
      <c r="A358" s="13"/>
      <c r="B358" s="14"/>
      <c r="C358" s="14"/>
      <c r="D358" s="14"/>
      <c r="E358" s="13"/>
      <c r="F358" s="13"/>
      <c r="G358" s="13"/>
      <c r="H358" s="15"/>
      <c r="I358" s="15"/>
      <c r="J358" s="16"/>
      <c r="K358" s="13"/>
      <c r="L358" s="13"/>
      <c r="M358" s="13"/>
    </row>
    <row r="359" spans="1:13" ht="14.25" customHeight="1" x14ac:dyDescent="0.3">
      <c r="A359" s="13"/>
      <c r="B359" s="14"/>
      <c r="C359" s="14"/>
      <c r="D359" s="14"/>
      <c r="E359" s="13"/>
      <c r="F359" s="13"/>
      <c r="G359" s="13"/>
      <c r="H359" s="15"/>
      <c r="I359" s="15"/>
      <c r="J359" s="16"/>
      <c r="K359" s="13"/>
      <c r="L359" s="13"/>
      <c r="M359" s="13"/>
    </row>
    <row r="360" spans="1:13" ht="14.25" customHeight="1" x14ac:dyDescent="0.3">
      <c r="A360" s="13"/>
      <c r="B360" s="14"/>
      <c r="C360" s="14"/>
      <c r="D360" s="14"/>
      <c r="E360" s="13"/>
      <c r="F360" s="13"/>
      <c r="G360" s="13"/>
      <c r="H360" s="15"/>
      <c r="I360" s="15"/>
      <c r="J360" s="16"/>
      <c r="K360" s="13"/>
      <c r="L360" s="13"/>
      <c r="M360" s="13"/>
    </row>
    <row r="361" spans="1:13" ht="14.25" customHeight="1" x14ac:dyDescent="0.3">
      <c r="A361" s="13"/>
      <c r="B361" s="14"/>
      <c r="C361" s="14"/>
      <c r="D361" s="14"/>
      <c r="E361" s="13"/>
      <c r="F361" s="13"/>
      <c r="G361" s="13"/>
      <c r="H361" s="15"/>
      <c r="I361" s="15"/>
      <c r="J361" s="16"/>
      <c r="K361" s="13"/>
      <c r="L361" s="13"/>
      <c r="M361" s="13"/>
    </row>
    <row r="362" spans="1:13" ht="14.25" customHeight="1" x14ac:dyDescent="0.3">
      <c r="A362" s="13"/>
      <c r="B362" s="14"/>
      <c r="C362" s="14"/>
      <c r="D362" s="14"/>
      <c r="E362" s="13"/>
      <c r="F362" s="13"/>
      <c r="G362" s="13"/>
      <c r="H362" s="15"/>
      <c r="I362" s="15"/>
      <c r="J362" s="16"/>
      <c r="K362" s="13"/>
      <c r="L362" s="13"/>
      <c r="M362" s="13"/>
    </row>
    <row r="363" spans="1:13" ht="14.25" customHeight="1" x14ac:dyDescent="0.3">
      <c r="A363" s="13"/>
      <c r="B363" s="14"/>
      <c r="C363" s="14"/>
      <c r="D363" s="14"/>
      <c r="E363" s="13"/>
      <c r="F363" s="13"/>
      <c r="G363" s="13"/>
      <c r="H363" s="15"/>
      <c r="I363" s="15"/>
      <c r="J363" s="16"/>
      <c r="K363" s="13"/>
      <c r="L363" s="13"/>
      <c r="M363" s="13"/>
    </row>
    <row r="364" spans="1:13" ht="14.25" customHeight="1" x14ac:dyDescent="0.3">
      <c r="A364" s="13"/>
      <c r="B364" s="14"/>
      <c r="C364" s="14"/>
      <c r="D364" s="14"/>
      <c r="E364" s="13"/>
      <c r="F364" s="13"/>
      <c r="G364" s="13"/>
      <c r="H364" s="15"/>
      <c r="I364" s="15"/>
      <c r="J364" s="16"/>
      <c r="K364" s="13"/>
      <c r="L364" s="13"/>
      <c r="M364" s="13"/>
    </row>
    <row r="365" spans="1:13" ht="14.25" customHeight="1" x14ac:dyDescent="0.3">
      <c r="A365" s="13"/>
      <c r="B365" s="14"/>
      <c r="C365" s="14"/>
      <c r="D365" s="14"/>
      <c r="E365" s="13"/>
      <c r="F365" s="13"/>
      <c r="G365" s="13"/>
      <c r="H365" s="15"/>
      <c r="I365" s="15"/>
      <c r="J365" s="16"/>
      <c r="K365" s="13"/>
      <c r="L365" s="13"/>
      <c r="M365" s="13"/>
    </row>
    <row r="366" spans="1:13" ht="14.25" customHeight="1" x14ac:dyDescent="0.3">
      <c r="A366" s="13"/>
      <c r="B366" s="14"/>
      <c r="C366" s="14"/>
      <c r="D366" s="14"/>
      <c r="E366" s="13"/>
      <c r="F366" s="13"/>
      <c r="G366" s="13"/>
      <c r="H366" s="15"/>
      <c r="I366" s="15"/>
      <c r="J366" s="16"/>
      <c r="K366" s="13"/>
      <c r="L366" s="13"/>
      <c r="M366" s="13"/>
    </row>
    <row r="367" spans="1:13" ht="14.25" customHeight="1" x14ac:dyDescent="0.3">
      <c r="A367" s="13"/>
      <c r="B367" s="14"/>
      <c r="C367" s="14"/>
      <c r="D367" s="14"/>
      <c r="E367" s="13"/>
      <c r="F367" s="13"/>
      <c r="G367" s="13"/>
      <c r="H367" s="15"/>
      <c r="I367" s="15"/>
      <c r="J367" s="16"/>
      <c r="K367" s="13"/>
      <c r="L367" s="13"/>
      <c r="M367" s="13"/>
    </row>
    <row r="368" spans="1:13" ht="14.25" customHeight="1" x14ac:dyDescent="0.3">
      <c r="A368" s="13"/>
      <c r="B368" s="14"/>
      <c r="C368" s="14"/>
      <c r="D368" s="14"/>
      <c r="E368" s="13"/>
      <c r="F368" s="13"/>
      <c r="G368" s="13"/>
      <c r="H368" s="15"/>
      <c r="I368" s="15"/>
      <c r="J368" s="16"/>
      <c r="K368" s="13"/>
      <c r="L368" s="13"/>
      <c r="M368" s="13"/>
    </row>
    <row r="369" spans="1:13" ht="14.25" customHeight="1" x14ac:dyDescent="0.3">
      <c r="A369" s="13"/>
      <c r="B369" s="14"/>
      <c r="C369" s="14"/>
      <c r="D369" s="14"/>
      <c r="E369" s="13"/>
      <c r="F369" s="13"/>
      <c r="G369" s="13"/>
      <c r="H369" s="15"/>
      <c r="I369" s="15"/>
      <c r="J369" s="16"/>
      <c r="K369" s="13"/>
      <c r="L369" s="13"/>
      <c r="M369" s="13"/>
    </row>
    <row r="370" spans="1:13" ht="14.25" customHeight="1" x14ac:dyDescent="0.3">
      <c r="A370" s="13"/>
      <c r="B370" s="14"/>
      <c r="C370" s="14"/>
      <c r="D370" s="14"/>
      <c r="E370" s="13"/>
      <c r="F370" s="13"/>
      <c r="G370" s="13"/>
      <c r="H370" s="15"/>
      <c r="I370" s="15"/>
      <c r="J370" s="16"/>
      <c r="K370" s="13"/>
      <c r="L370" s="13"/>
      <c r="M370" s="13"/>
    </row>
    <row r="371" spans="1:13" ht="14.25" customHeight="1" x14ac:dyDescent="0.3">
      <c r="A371" s="13"/>
      <c r="B371" s="14"/>
      <c r="C371" s="14"/>
      <c r="D371" s="14"/>
      <c r="E371" s="13"/>
      <c r="F371" s="13"/>
      <c r="G371" s="13"/>
      <c r="H371" s="15"/>
      <c r="I371" s="15"/>
      <c r="J371" s="16"/>
      <c r="K371" s="13"/>
      <c r="L371" s="13"/>
      <c r="M371" s="13"/>
    </row>
    <row r="372" spans="1:13" ht="14.25" customHeight="1" x14ac:dyDescent="0.3">
      <c r="A372" s="13"/>
      <c r="B372" s="14"/>
      <c r="C372" s="14"/>
      <c r="D372" s="14"/>
      <c r="E372" s="13"/>
      <c r="F372" s="13"/>
      <c r="G372" s="13"/>
      <c r="H372" s="15"/>
      <c r="I372" s="15"/>
      <c r="J372" s="16"/>
      <c r="K372" s="13"/>
      <c r="L372" s="13"/>
      <c r="M372" s="13"/>
    </row>
    <row r="373" spans="1:13" ht="14.25" customHeight="1" x14ac:dyDescent="0.3">
      <c r="A373" s="13"/>
      <c r="B373" s="14"/>
      <c r="C373" s="14"/>
      <c r="D373" s="14"/>
      <c r="E373" s="13"/>
      <c r="F373" s="13"/>
      <c r="G373" s="13"/>
      <c r="H373" s="15"/>
      <c r="I373" s="15"/>
      <c r="J373" s="16"/>
      <c r="K373" s="13"/>
      <c r="L373" s="13"/>
      <c r="M373" s="13"/>
    </row>
    <row r="374" spans="1:13" ht="14.25" customHeight="1" x14ac:dyDescent="0.3">
      <c r="A374" s="13"/>
      <c r="B374" s="14"/>
      <c r="C374" s="14"/>
      <c r="D374" s="14"/>
      <c r="E374" s="13"/>
      <c r="F374" s="13"/>
      <c r="G374" s="13"/>
      <c r="H374" s="15"/>
      <c r="I374" s="15"/>
      <c r="J374" s="16"/>
      <c r="K374" s="13"/>
      <c r="L374" s="13"/>
      <c r="M374" s="13"/>
    </row>
    <row r="375" spans="1:13" ht="14.25" customHeight="1" x14ac:dyDescent="0.3">
      <c r="A375" s="13"/>
      <c r="B375" s="14"/>
      <c r="C375" s="14"/>
      <c r="D375" s="14"/>
      <c r="E375" s="13"/>
      <c r="F375" s="13"/>
      <c r="G375" s="13"/>
      <c r="H375" s="15"/>
      <c r="I375" s="15"/>
      <c r="J375" s="16"/>
      <c r="K375" s="13"/>
      <c r="L375" s="13"/>
      <c r="M375" s="13"/>
    </row>
    <row r="376" spans="1:13" ht="14.25" customHeight="1" x14ac:dyDescent="0.3">
      <c r="A376" s="13"/>
      <c r="B376" s="14"/>
      <c r="C376" s="14"/>
      <c r="D376" s="14"/>
      <c r="E376" s="13"/>
      <c r="F376" s="13"/>
      <c r="G376" s="13"/>
      <c r="H376" s="15"/>
      <c r="I376" s="15"/>
      <c r="J376" s="16"/>
      <c r="K376" s="13"/>
      <c r="L376" s="13"/>
      <c r="M376" s="13"/>
    </row>
    <row r="377" spans="1:13" ht="14.25" customHeight="1" x14ac:dyDescent="0.3">
      <c r="A377" s="13"/>
      <c r="B377" s="14"/>
      <c r="C377" s="14"/>
      <c r="D377" s="14"/>
      <c r="E377" s="13"/>
      <c r="F377" s="13"/>
      <c r="G377" s="13"/>
      <c r="H377" s="15"/>
      <c r="I377" s="15"/>
      <c r="J377" s="16"/>
      <c r="K377" s="13"/>
      <c r="L377" s="13"/>
      <c r="M377" s="13"/>
    </row>
    <row r="378" spans="1:13" ht="14.25" customHeight="1" x14ac:dyDescent="0.3">
      <c r="A378" s="13"/>
      <c r="B378" s="14"/>
      <c r="C378" s="14"/>
      <c r="D378" s="14"/>
      <c r="E378" s="13"/>
      <c r="F378" s="13"/>
      <c r="G378" s="13"/>
      <c r="H378" s="15"/>
      <c r="I378" s="15"/>
      <c r="J378" s="16"/>
      <c r="K378" s="13"/>
      <c r="L378" s="13"/>
      <c r="M378" s="13"/>
    </row>
    <row r="379" spans="1:13" ht="14.25" customHeight="1" x14ac:dyDescent="0.3">
      <c r="A379" s="13"/>
      <c r="B379" s="14"/>
      <c r="C379" s="14"/>
      <c r="D379" s="14"/>
      <c r="E379" s="13"/>
      <c r="F379" s="13"/>
      <c r="G379" s="13"/>
      <c r="H379" s="15"/>
      <c r="I379" s="15"/>
      <c r="J379" s="16"/>
      <c r="K379" s="13"/>
      <c r="L379" s="13"/>
      <c r="M379" s="13"/>
    </row>
    <row r="380" spans="1:13" ht="14.25" customHeight="1" x14ac:dyDescent="0.3">
      <c r="A380" s="13"/>
      <c r="B380" s="14"/>
      <c r="C380" s="14"/>
      <c r="D380" s="14"/>
      <c r="E380" s="13"/>
      <c r="F380" s="13"/>
      <c r="G380" s="13"/>
      <c r="H380" s="15"/>
      <c r="I380" s="15"/>
      <c r="J380" s="16"/>
      <c r="K380" s="13"/>
      <c r="L380" s="13"/>
      <c r="M380" s="13"/>
    </row>
    <row r="381" spans="1:13" ht="14.25" customHeight="1" x14ac:dyDescent="0.3">
      <c r="A381" s="13"/>
      <c r="B381" s="14"/>
      <c r="C381" s="14"/>
      <c r="D381" s="14"/>
      <c r="E381" s="13"/>
      <c r="F381" s="13"/>
      <c r="G381" s="13"/>
      <c r="H381" s="15"/>
      <c r="I381" s="15"/>
      <c r="J381" s="16"/>
      <c r="K381" s="13"/>
      <c r="L381" s="13"/>
      <c r="M381" s="13"/>
    </row>
    <row r="382" spans="1:13" ht="14.25" customHeight="1" x14ac:dyDescent="0.3">
      <c r="A382" s="13"/>
      <c r="B382" s="14"/>
      <c r="C382" s="14"/>
      <c r="D382" s="14"/>
      <c r="E382" s="13"/>
      <c r="F382" s="13"/>
      <c r="G382" s="13"/>
      <c r="H382" s="15"/>
      <c r="I382" s="15"/>
      <c r="J382" s="16"/>
      <c r="K382" s="13"/>
      <c r="L382" s="13"/>
      <c r="M382" s="13"/>
    </row>
    <row r="383" spans="1:13" ht="14.25" customHeight="1" x14ac:dyDescent="0.3">
      <c r="A383" s="13"/>
      <c r="B383" s="14"/>
      <c r="C383" s="14"/>
      <c r="D383" s="14"/>
      <c r="E383" s="13"/>
      <c r="F383" s="13"/>
      <c r="G383" s="13"/>
      <c r="H383" s="15"/>
      <c r="I383" s="15"/>
      <c r="J383" s="16"/>
      <c r="K383" s="13"/>
      <c r="L383" s="13"/>
      <c r="M383" s="13"/>
    </row>
    <row r="384" spans="1:13" ht="14.25" customHeight="1" x14ac:dyDescent="0.3">
      <c r="A384" s="13"/>
      <c r="B384" s="14"/>
      <c r="C384" s="14"/>
      <c r="D384" s="14"/>
      <c r="E384" s="13"/>
      <c r="F384" s="13"/>
      <c r="G384" s="13"/>
      <c r="H384" s="15"/>
      <c r="I384" s="15"/>
      <c r="J384" s="16"/>
      <c r="K384" s="13"/>
      <c r="L384" s="13"/>
      <c r="M384" s="13"/>
    </row>
    <row r="385" spans="1:13" ht="14.25" customHeight="1" x14ac:dyDescent="0.3">
      <c r="A385" s="13"/>
      <c r="B385" s="14"/>
      <c r="C385" s="14"/>
      <c r="D385" s="14"/>
      <c r="E385" s="13"/>
      <c r="F385" s="13"/>
      <c r="G385" s="13"/>
      <c r="H385" s="15"/>
      <c r="I385" s="15"/>
      <c r="J385" s="16"/>
      <c r="K385" s="13"/>
      <c r="L385" s="13"/>
      <c r="M385" s="13"/>
    </row>
    <row r="386" spans="1:13" ht="14.25" customHeight="1" x14ac:dyDescent="0.3">
      <c r="A386" s="13"/>
      <c r="B386" s="14"/>
      <c r="C386" s="14"/>
      <c r="D386" s="14"/>
      <c r="E386" s="13"/>
      <c r="F386" s="13"/>
      <c r="G386" s="13"/>
      <c r="H386" s="15"/>
      <c r="I386" s="15"/>
      <c r="J386" s="16"/>
      <c r="K386" s="13"/>
      <c r="L386" s="13"/>
      <c r="M386" s="13"/>
    </row>
    <row r="387" spans="1:13" ht="14.25" customHeight="1" x14ac:dyDescent="0.3">
      <c r="A387" s="13"/>
      <c r="B387" s="14"/>
      <c r="C387" s="14"/>
      <c r="D387" s="14"/>
      <c r="E387" s="13"/>
      <c r="F387" s="13"/>
      <c r="G387" s="13"/>
      <c r="H387" s="15"/>
      <c r="I387" s="15"/>
      <c r="J387" s="16"/>
      <c r="K387" s="13"/>
      <c r="L387" s="13"/>
      <c r="M387" s="13"/>
    </row>
    <row r="388" spans="1:13" ht="14.25" customHeight="1" x14ac:dyDescent="0.3">
      <c r="A388" s="13"/>
      <c r="B388" s="14"/>
      <c r="C388" s="14"/>
      <c r="D388" s="14"/>
      <c r="E388" s="13"/>
      <c r="F388" s="13"/>
      <c r="G388" s="13"/>
      <c r="H388" s="15"/>
      <c r="I388" s="15"/>
      <c r="J388" s="16"/>
      <c r="K388" s="13"/>
      <c r="L388" s="13"/>
      <c r="M388" s="13"/>
    </row>
    <row r="389" spans="1:13" ht="14.25" customHeight="1" x14ac:dyDescent="0.3">
      <c r="A389" s="13"/>
      <c r="B389" s="14"/>
      <c r="C389" s="14"/>
      <c r="D389" s="14"/>
      <c r="E389" s="13"/>
      <c r="F389" s="13"/>
      <c r="G389" s="13"/>
      <c r="H389" s="15"/>
      <c r="I389" s="15"/>
      <c r="J389" s="16"/>
      <c r="K389" s="13"/>
      <c r="L389" s="13"/>
      <c r="M389" s="13"/>
    </row>
    <row r="390" spans="1:13" ht="14.25" customHeight="1" x14ac:dyDescent="0.3">
      <c r="A390" s="13"/>
      <c r="B390" s="14"/>
      <c r="C390" s="14"/>
      <c r="D390" s="14"/>
      <c r="E390" s="13"/>
      <c r="F390" s="13"/>
      <c r="G390" s="13"/>
      <c r="H390" s="15"/>
      <c r="I390" s="15"/>
      <c r="J390" s="16"/>
      <c r="K390" s="13"/>
      <c r="L390" s="13"/>
      <c r="M390" s="13"/>
    </row>
    <row r="391" spans="1:13" ht="14.25" customHeight="1" x14ac:dyDescent="0.3">
      <c r="A391" s="13"/>
      <c r="B391" s="14"/>
      <c r="C391" s="14"/>
      <c r="D391" s="14"/>
      <c r="E391" s="13"/>
      <c r="F391" s="13"/>
      <c r="G391" s="13"/>
      <c r="H391" s="15"/>
      <c r="I391" s="15"/>
      <c r="J391" s="16"/>
      <c r="K391" s="13"/>
      <c r="L391" s="13"/>
      <c r="M391" s="13"/>
    </row>
    <row r="392" spans="1:13" ht="14.25" customHeight="1" x14ac:dyDescent="0.3">
      <c r="A392" s="13"/>
      <c r="B392" s="14"/>
      <c r="C392" s="14"/>
      <c r="D392" s="14"/>
      <c r="E392" s="13"/>
      <c r="F392" s="13"/>
      <c r="G392" s="13"/>
      <c r="H392" s="15"/>
      <c r="I392" s="15"/>
      <c r="J392" s="16"/>
      <c r="K392" s="13"/>
      <c r="L392" s="13"/>
      <c r="M392" s="13"/>
    </row>
    <row r="393" spans="1:13" ht="14.25" customHeight="1" x14ac:dyDescent="0.3">
      <c r="A393" s="13"/>
      <c r="B393" s="14"/>
      <c r="C393" s="14"/>
      <c r="D393" s="14"/>
      <c r="E393" s="13"/>
      <c r="F393" s="13"/>
      <c r="G393" s="13"/>
      <c r="H393" s="15"/>
      <c r="I393" s="15"/>
      <c r="J393" s="16"/>
      <c r="K393" s="13"/>
      <c r="L393" s="13"/>
      <c r="M393" s="13"/>
    </row>
    <row r="394" spans="1:13" ht="14.25" customHeight="1" x14ac:dyDescent="0.3">
      <c r="A394" s="13"/>
      <c r="B394" s="14"/>
      <c r="C394" s="14"/>
      <c r="D394" s="14"/>
      <c r="E394" s="13"/>
      <c r="F394" s="13"/>
      <c r="G394" s="13"/>
      <c r="H394" s="15"/>
      <c r="I394" s="15"/>
      <c r="J394" s="16"/>
      <c r="K394" s="13"/>
      <c r="L394" s="13"/>
      <c r="M394" s="13"/>
    </row>
    <row r="395" spans="1:13" ht="14.25" customHeight="1" x14ac:dyDescent="0.3">
      <c r="A395" s="13"/>
      <c r="B395" s="14"/>
      <c r="C395" s="14"/>
      <c r="D395" s="14"/>
      <c r="E395" s="13"/>
      <c r="F395" s="13"/>
      <c r="G395" s="13"/>
      <c r="H395" s="15"/>
      <c r="I395" s="15"/>
      <c r="J395" s="16"/>
      <c r="K395" s="13"/>
      <c r="L395" s="13"/>
      <c r="M395" s="13"/>
    </row>
    <row r="396" spans="1:13" ht="14.25" customHeight="1" x14ac:dyDescent="0.3">
      <c r="A396" s="13"/>
      <c r="B396" s="14"/>
      <c r="C396" s="14"/>
      <c r="D396" s="14"/>
      <c r="E396" s="13"/>
      <c r="F396" s="13"/>
      <c r="G396" s="13"/>
      <c r="H396" s="15"/>
      <c r="I396" s="15"/>
      <c r="J396" s="16"/>
      <c r="K396" s="13"/>
      <c r="L396" s="13"/>
      <c r="M396" s="13"/>
    </row>
    <row r="397" spans="1:13" ht="14.25" customHeight="1" x14ac:dyDescent="0.3">
      <c r="A397" s="13"/>
      <c r="B397" s="14"/>
      <c r="C397" s="14"/>
      <c r="D397" s="14"/>
      <c r="E397" s="13"/>
      <c r="F397" s="13"/>
      <c r="G397" s="13"/>
      <c r="H397" s="15"/>
      <c r="I397" s="15"/>
      <c r="J397" s="16"/>
      <c r="K397" s="13"/>
      <c r="L397" s="13"/>
      <c r="M397" s="13"/>
    </row>
    <row r="398" spans="1:13" ht="14.25" customHeight="1" x14ac:dyDescent="0.3">
      <c r="A398" s="13"/>
      <c r="B398" s="14"/>
      <c r="C398" s="14"/>
      <c r="D398" s="14"/>
      <c r="E398" s="13"/>
      <c r="F398" s="13"/>
      <c r="G398" s="13"/>
      <c r="H398" s="15"/>
      <c r="I398" s="15"/>
      <c r="J398" s="16"/>
      <c r="K398" s="13"/>
      <c r="L398" s="13"/>
      <c r="M398" s="13"/>
    </row>
    <row r="399" spans="1:13" ht="14.25" customHeight="1" x14ac:dyDescent="0.3">
      <c r="A399" s="13"/>
      <c r="B399" s="14"/>
      <c r="C399" s="14"/>
      <c r="D399" s="14"/>
      <c r="E399" s="13"/>
      <c r="F399" s="13"/>
      <c r="G399" s="13"/>
      <c r="H399" s="15"/>
      <c r="I399" s="15"/>
      <c r="J399" s="16"/>
      <c r="K399" s="13"/>
      <c r="L399" s="13"/>
      <c r="M399" s="13"/>
    </row>
    <row r="400" spans="1:13" ht="14.25" customHeight="1" x14ac:dyDescent="0.3">
      <c r="A400" s="13"/>
      <c r="B400" s="14"/>
      <c r="C400" s="14"/>
      <c r="D400" s="14"/>
      <c r="E400" s="13"/>
      <c r="F400" s="13"/>
      <c r="G400" s="13"/>
      <c r="H400" s="15"/>
      <c r="I400" s="15"/>
      <c r="J400" s="16"/>
      <c r="K400" s="13"/>
      <c r="L400" s="13"/>
      <c r="M400" s="13"/>
    </row>
    <row r="401" spans="1:13" ht="14.25" customHeight="1" x14ac:dyDescent="0.3">
      <c r="A401" s="13"/>
      <c r="B401" s="14"/>
      <c r="C401" s="14"/>
      <c r="D401" s="14"/>
      <c r="E401" s="13"/>
      <c r="F401" s="13"/>
      <c r="G401" s="13"/>
      <c r="H401" s="15"/>
      <c r="I401" s="15"/>
      <c r="J401" s="16"/>
      <c r="K401" s="13"/>
      <c r="L401" s="13"/>
      <c r="M401" s="13"/>
    </row>
    <row r="402" spans="1:13" ht="14.25" customHeight="1" x14ac:dyDescent="0.3">
      <c r="A402" s="13"/>
      <c r="B402" s="14"/>
      <c r="C402" s="14"/>
      <c r="D402" s="14"/>
      <c r="E402" s="13"/>
      <c r="F402" s="13"/>
      <c r="G402" s="13"/>
      <c r="H402" s="15"/>
      <c r="I402" s="15"/>
      <c r="J402" s="16"/>
      <c r="K402" s="13"/>
      <c r="L402" s="13"/>
      <c r="M402" s="13"/>
    </row>
    <row r="403" spans="1:13" ht="14.25" customHeight="1" x14ac:dyDescent="0.3">
      <c r="A403" s="13"/>
      <c r="B403" s="14"/>
      <c r="C403" s="14"/>
      <c r="D403" s="14"/>
      <c r="E403" s="13"/>
      <c r="F403" s="13"/>
      <c r="G403" s="13"/>
      <c r="H403" s="15"/>
      <c r="I403" s="15"/>
      <c r="J403" s="16"/>
      <c r="K403" s="13"/>
      <c r="L403" s="13"/>
      <c r="M403" s="13"/>
    </row>
    <row r="404" spans="1:13" ht="14.25" customHeight="1" x14ac:dyDescent="0.3">
      <c r="A404" s="13"/>
      <c r="B404" s="14"/>
      <c r="C404" s="14"/>
      <c r="D404" s="14"/>
      <c r="E404" s="13"/>
      <c r="F404" s="13"/>
      <c r="G404" s="13"/>
      <c r="H404" s="15"/>
      <c r="I404" s="15"/>
      <c r="J404" s="16"/>
      <c r="K404" s="13"/>
      <c r="L404" s="13"/>
      <c r="M404" s="13"/>
    </row>
    <row r="405" spans="1:13" ht="14.25" customHeight="1" x14ac:dyDescent="0.3">
      <c r="A405" s="13"/>
      <c r="B405" s="14"/>
      <c r="C405" s="14"/>
      <c r="D405" s="14"/>
      <c r="E405" s="13"/>
      <c r="F405" s="13"/>
      <c r="G405" s="13"/>
      <c r="H405" s="15"/>
      <c r="I405" s="15"/>
      <c r="J405" s="16"/>
      <c r="K405" s="13"/>
      <c r="L405" s="13"/>
      <c r="M405" s="13"/>
    </row>
    <row r="406" spans="1:13" ht="14.25" customHeight="1" x14ac:dyDescent="0.3">
      <c r="A406" s="13"/>
      <c r="B406" s="14"/>
      <c r="C406" s="14"/>
      <c r="D406" s="14"/>
      <c r="E406" s="13"/>
      <c r="F406" s="13"/>
      <c r="G406" s="13"/>
      <c r="H406" s="15"/>
      <c r="I406" s="15"/>
      <c r="J406" s="16"/>
      <c r="K406" s="13"/>
      <c r="L406" s="13"/>
      <c r="M406" s="13"/>
    </row>
    <row r="407" spans="1:13" ht="14.25" customHeight="1" x14ac:dyDescent="0.3">
      <c r="A407" s="13"/>
      <c r="B407" s="14"/>
      <c r="C407" s="14"/>
      <c r="D407" s="14"/>
      <c r="E407" s="13"/>
      <c r="F407" s="13"/>
      <c r="G407" s="13"/>
      <c r="H407" s="15"/>
      <c r="I407" s="15"/>
      <c r="J407" s="16"/>
      <c r="K407" s="13"/>
      <c r="L407" s="13"/>
      <c r="M407" s="13"/>
    </row>
    <row r="408" spans="1:13" ht="14.25" customHeight="1" x14ac:dyDescent="0.3">
      <c r="A408" s="13"/>
      <c r="B408" s="14"/>
      <c r="C408" s="14"/>
      <c r="D408" s="14"/>
      <c r="E408" s="13"/>
      <c r="F408" s="13"/>
      <c r="G408" s="13"/>
      <c r="H408" s="15"/>
      <c r="I408" s="15"/>
      <c r="J408" s="16"/>
      <c r="K408" s="13"/>
      <c r="L408" s="13"/>
      <c r="M408" s="13"/>
    </row>
    <row r="409" spans="1:13" ht="14.25" customHeight="1" x14ac:dyDescent="0.3">
      <c r="A409" s="13"/>
      <c r="B409" s="14"/>
      <c r="C409" s="14"/>
      <c r="D409" s="14"/>
      <c r="E409" s="13"/>
      <c r="F409" s="13"/>
      <c r="G409" s="13"/>
      <c r="H409" s="15"/>
      <c r="I409" s="15"/>
      <c r="J409" s="16"/>
      <c r="K409" s="13"/>
      <c r="L409" s="13"/>
      <c r="M409" s="13"/>
    </row>
    <row r="410" spans="1:13" ht="14.25" customHeight="1" x14ac:dyDescent="0.3">
      <c r="A410" s="13"/>
      <c r="B410" s="14"/>
      <c r="C410" s="14"/>
      <c r="D410" s="14"/>
      <c r="E410" s="13"/>
      <c r="F410" s="13"/>
      <c r="G410" s="13"/>
      <c r="H410" s="15"/>
      <c r="I410" s="15"/>
      <c r="J410" s="16"/>
      <c r="K410" s="13"/>
      <c r="L410" s="13"/>
      <c r="M410" s="13"/>
    </row>
    <row r="411" spans="1:13" ht="14.25" customHeight="1" x14ac:dyDescent="0.3">
      <c r="A411" s="13"/>
      <c r="B411" s="14"/>
      <c r="C411" s="14"/>
      <c r="D411" s="14"/>
      <c r="E411" s="13"/>
      <c r="F411" s="13"/>
      <c r="G411" s="13"/>
      <c r="H411" s="15"/>
      <c r="I411" s="15"/>
      <c r="J411" s="16"/>
      <c r="K411" s="13"/>
      <c r="L411" s="13"/>
      <c r="M411" s="13"/>
    </row>
    <row r="412" spans="1:13" ht="14.25" customHeight="1" x14ac:dyDescent="0.3">
      <c r="A412" s="13"/>
      <c r="B412" s="14"/>
      <c r="C412" s="14"/>
      <c r="D412" s="14"/>
      <c r="E412" s="13"/>
      <c r="F412" s="13"/>
      <c r="G412" s="13"/>
      <c r="H412" s="15"/>
      <c r="I412" s="15"/>
      <c r="J412" s="16"/>
      <c r="K412" s="13"/>
      <c r="L412" s="13"/>
      <c r="M412" s="13"/>
    </row>
    <row r="413" spans="1:13" ht="14.25" customHeight="1" x14ac:dyDescent="0.3">
      <c r="A413" s="13"/>
      <c r="B413" s="14"/>
      <c r="C413" s="14"/>
      <c r="D413" s="14"/>
      <c r="E413" s="13"/>
      <c r="F413" s="13"/>
      <c r="G413" s="13"/>
      <c r="H413" s="15"/>
      <c r="I413" s="15"/>
      <c r="J413" s="16"/>
      <c r="K413" s="13"/>
      <c r="L413" s="13"/>
      <c r="M413" s="13"/>
    </row>
    <row r="414" spans="1:13" ht="14.25" customHeight="1" x14ac:dyDescent="0.3">
      <c r="A414" s="13"/>
      <c r="B414" s="14"/>
      <c r="C414" s="14"/>
      <c r="D414" s="14"/>
      <c r="E414" s="13"/>
      <c r="F414" s="13"/>
      <c r="G414" s="13"/>
      <c r="H414" s="15"/>
      <c r="I414" s="15"/>
      <c r="J414" s="16"/>
      <c r="K414" s="13"/>
      <c r="L414" s="13"/>
      <c r="M414" s="13"/>
    </row>
    <row r="415" spans="1:13" ht="14.25" customHeight="1" x14ac:dyDescent="0.3">
      <c r="A415" s="13"/>
      <c r="B415" s="14"/>
      <c r="C415" s="14"/>
      <c r="D415" s="14"/>
      <c r="E415" s="13"/>
      <c r="F415" s="13"/>
      <c r="G415" s="13"/>
      <c r="H415" s="15"/>
      <c r="I415" s="15"/>
      <c r="J415" s="16"/>
      <c r="K415" s="13"/>
      <c r="L415" s="13"/>
      <c r="M415" s="13"/>
    </row>
    <row r="416" spans="1:13" ht="14.25" customHeight="1" x14ac:dyDescent="0.3">
      <c r="A416" s="13"/>
      <c r="B416" s="14"/>
      <c r="C416" s="14"/>
      <c r="D416" s="14"/>
      <c r="E416" s="13"/>
      <c r="F416" s="13"/>
      <c r="G416" s="13"/>
      <c r="H416" s="15"/>
      <c r="I416" s="15"/>
      <c r="J416" s="16"/>
      <c r="K416" s="13"/>
      <c r="L416" s="13"/>
      <c r="M416" s="13"/>
    </row>
    <row r="417" spans="1:13" ht="14.25" customHeight="1" x14ac:dyDescent="0.3">
      <c r="A417" s="13"/>
      <c r="B417" s="14"/>
      <c r="C417" s="14"/>
      <c r="D417" s="14"/>
      <c r="E417" s="13"/>
      <c r="F417" s="13"/>
      <c r="G417" s="13"/>
      <c r="H417" s="15"/>
      <c r="I417" s="15"/>
      <c r="J417" s="16"/>
      <c r="K417" s="13"/>
      <c r="L417" s="13"/>
      <c r="M417" s="13"/>
    </row>
    <row r="418" spans="1:13" ht="14.25" customHeight="1" x14ac:dyDescent="0.3">
      <c r="A418" s="13"/>
      <c r="B418" s="14"/>
      <c r="C418" s="14"/>
      <c r="D418" s="14"/>
      <c r="E418" s="13"/>
      <c r="F418" s="13"/>
      <c r="G418" s="13"/>
      <c r="H418" s="15"/>
      <c r="I418" s="15"/>
      <c r="J418" s="16"/>
      <c r="K418" s="13"/>
      <c r="L418" s="13"/>
      <c r="M418" s="13"/>
    </row>
    <row r="419" spans="1:13" ht="14.25" customHeight="1" x14ac:dyDescent="0.3">
      <c r="A419" s="13"/>
      <c r="B419" s="14"/>
      <c r="C419" s="14"/>
      <c r="D419" s="14"/>
      <c r="E419" s="13"/>
      <c r="F419" s="13"/>
      <c r="G419" s="13"/>
      <c r="H419" s="15"/>
      <c r="I419" s="15"/>
      <c r="J419" s="16"/>
      <c r="K419" s="13"/>
      <c r="L419" s="13"/>
      <c r="M419" s="13"/>
    </row>
    <row r="420" spans="1:13" ht="14.25" customHeight="1" x14ac:dyDescent="0.3">
      <c r="A420" s="13"/>
      <c r="B420" s="14"/>
      <c r="C420" s="14"/>
      <c r="D420" s="14"/>
      <c r="E420" s="13"/>
      <c r="F420" s="13"/>
      <c r="G420" s="13"/>
      <c r="H420" s="15"/>
      <c r="I420" s="15"/>
      <c r="J420" s="16"/>
      <c r="K420" s="13"/>
      <c r="L420" s="13"/>
      <c r="M420" s="13"/>
    </row>
    <row r="421" spans="1:13" ht="14.25" customHeight="1" x14ac:dyDescent="0.3">
      <c r="A421" s="13"/>
      <c r="B421" s="14"/>
      <c r="C421" s="14"/>
      <c r="D421" s="14"/>
      <c r="E421" s="13"/>
      <c r="F421" s="13"/>
      <c r="G421" s="13"/>
      <c r="H421" s="15"/>
      <c r="I421" s="15"/>
      <c r="J421" s="16"/>
      <c r="K421" s="13"/>
      <c r="L421" s="13"/>
      <c r="M421" s="13"/>
    </row>
    <row r="422" spans="1:13" ht="14.25" customHeight="1" x14ac:dyDescent="0.3">
      <c r="A422" s="13"/>
      <c r="B422" s="14"/>
      <c r="C422" s="14"/>
      <c r="D422" s="14"/>
      <c r="E422" s="13"/>
      <c r="F422" s="13"/>
      <c r="G422" s="13"/>
      <c r="H422" s="15"/>
      <c r="I422" s="15"/>
      <c r="J422" s="16"/>
      <c r="K422" s="13"/>
      <c r="L422" s="13"/>
      <c r="M422" s="13"/>
    </row>
    <row r="423" spans="1:13" ht="14.25" customHeight="1" x14ac:dyDescent="0.3">
      <c r="A423" s="13"/>
      <c r="B423" s="14"/>
      <c r="C423" s="14"/>
      <c r="D423" s="14"/>
      <c r="E423" s="13"/>
      <c r="F423" s="13"/>
      <c r="G423" s="13"/>
      <c r="H423" s="15"/>
      <c r="I423" s="15"/>
      <c r="J423" s="16"/>
      <c r="K423" s="13"/>
      <c r="L423" s="13"/>
      <c r="M423" s="13"/>
    </row>
    <row r="424" spans="1:13" ht="14.25" customHeight="1" x14ac:dyDescent="0.3">
      <c r="A424" s="13"/>
      <c r="B424" s="14"/>
      <c r="C424" s="14"/>
      <c r="D424" s="14"/>
      <c r="E424" s="13"/>
      <c r="F424" s="13"/>
      <c r="G424" s="13"/>
      <c r="H424" s="15"/>
      <c r="I424" s="15"/>
      <c r="J424" s="16"/>
      <c r="K424" s="13"/>
      <c r="L424" s="13"/>
      <c r="M424" s="13"/>
    </row>
    <row r="425" spans="1:13" ht="14.25" customHeight="1" x14ac:dyDescent="0.3">
      <c r="A425" s="13"/>
      <c r="B425" s="14"/>
      <c r="C425" s="14"/>
      <c r="D425" s="14"/>
      <c r="E425" s="13"/>
      <c r="F425" s="13"/>
      <c r="G425" s="13"/>
      <c r="H425" s="15"/>
      <c r="I425" s="15"/>
      <c r="J425" s="16"/>
      <c r="K425" s="13"/>
      <c r="L425" s="13"/>
      <c r="M425" s="13"/>
    </row>
    <row r="426" spans="1:13" ht="14.25" customHeight="1" x14ac:dyDescent="0.3">
      <c r="A426" s="13"/>
      <c r="B426" s="14"/>
      <c r="C426" s="14"/>
      <c r="D426" s="14"/>
      <c r="E426" s="13"/>
      <c r="F426" s="13"/>
      <c r="G426" s="13"/>
      <c r="H426" s="15"/>
      <c r="I426" s="15"/>
      <c r="J426" s="16"/>
      <c r="K426" s="13"/>
      <c r="L426" s="13"/>
      <c r="M426" s="13"/>
    </row>
    <row r="427" spans="1:13" ht="14.25" customHeight="1" x14ac:dyDescent="0.3">
      <c r="A427" s="13"/>
      <c r="B427" s="14"/>
      <c r="C427" s="14"/>
      <c r="D427" s="14"/>
      <c r="E427" s="13"/>
      <c r="F427" s="13"/>
      <c r="G427" s="13"/>
      <c r="H427" s="15"/>
      <c r="I427" s="15"/>
      <c r="J427" s="16"/>
      <c r="K427" s="13"/>
      <c r="L427" s="13"/>
      <c r="M427" s="13"/>
    </row>
    <row r="428" spans="1:13" ht="14.25" customHeight="1" x14ac:dyDescent="0.3">
      <c r="A428" s="13"/>
      <c r="B428" s="14"/>
      <c r="C428" s="14"/>
      <c r="D428" s="14"/>
      <c r="E428" s="13"/>
      <c r="F428" s="13"/>
      <c r="G428" s="13"/>
      <c r="H428" s="15"/>
      <c r="I428" s="15"/>
      <c r="J428" s="16"/>
      <c r="K428" s="13"/>
      <c r="L428" s="13"/>
      <c r="M428" s="13"/>
    </row>
    <row r="429" spans="1:13" ht="14.25" customHeight="1" x14ac:dyDescent="0.3">
      <c r="A429" s="13"/>
      <c r="B429" s="14"/>
      <c r="C429" s="14"/>
      <c r="D429" s="14"/>
      <c r="E429" s="13"/>
      <c r="F429" s="13"/>
      <c r="G429" s="13"/>
      <c r="H429" s="15"/>
      <c r="I429" s="15"/>
      <c r="J429" s="16"/>
      <c r="K429" s="13"/>
      <c r="L429" s="13"/>
      <c r="M429" s="13"/>
    </row>
    <row r="430" spans="1:13" ht="14.25" customHeight="1" x14ac:dyDescent="0.3">
      <c r="A430" s="13"/>
      <c r="B430" s="14"/>
      <c r="C430" s="14"/>
      <c r="D430" s="14"/>
      <c r="E430" s="13"/>
      <c r="F430" s="13"/>
      <c r="G430" s="13"/>
      <c r="H430" s="15"/>
      <c r="I430" s="15"/>
      <c r="J430" s="16"/>
      <c r="K430" s="13"/>
      <c r="L430" s="13"/>
      <c r="M430" s="13"/>
    </row>
    <row r="431" spans="1:13" ht="14.25" customHeight="1" x14ac:dyDescent="0.3">
      <c r="A431" s="13"/>
      <c r="B431" s="14"/>
      <c r="C431" s="14"/>
      <c r="D431" s="14"/>
      <c r="E431" s="13"/>
      <c r="F431" s="13"/>
      <c r="G431" s="13"/>
      <c r="H431" s="15"/>
      <c r="I431" s="15"/>
      <c r="J431" s="16"/>
      <c r="K431" s="13"/>
      <c r="L431" s="13"/>
      <c r="M431" s="13"/>
    </row>
    <row r="432" spans="1:13" ht="14.25" customHeight="1" x14ac:dyDescent="0.3">
      <c r="A432" s="13"/>
      <c r="B432" s="14"/>
      <c r="C432" s="14"/>
      <c r="D432" s="14"/>
      <c r="E432" s="13"/>
      <c r="F432" s="13"/>
      <c r="G432" s="13"/>
      <c r="H432" s="15"/>
      <c r="I432" s="15"/>
      <c r="J432" s="16"/>
      <c r="K432" s="13"/>
      <c r="L432" s="13"/>
      <c r="M432" s="13"/>
    </row>
    <row r="433" spans="1:13" ht="14.25" customHeight="1" x14ac:dyDescent="0.3">
      <c r="A433" s="13"/>
      <c r="B433" s="14"/>
      <c r="C433" s="14"/>
      <c r="D433" s="14"/>
      <c r="E433" s="13"/>
      <c r="F433" s="13"/>
      <c r="G433" s="13"/>
      <c r="H433" s="15"/>
      <c r="I433" s="15"/>
      <c r="J433" s="16"/>
      <c r="K433" s="13"/>
      <c r="L433" s="13"/>
      <c r="M433" s="13"/>
    </row>
    <row r="434" spans="1:13" ht="14.25" customHeight="1" x14ac:dyDescent="0.3">
      <c r="A434" s="13"/>
      <c r="B434" s="14"/>
      <c r="C434" s="14"/>
      <c r="D434" s="14"/>
      <c r="E434" s="13"/>
      <c r="F434" s="13"/>
      <c r="G434" s="13"/>
      <c r="H434" s="15"/>
      <c r="I434" s="15"/>
      <c r="J434" s="16"/>
      <c r="K434" s="13"/>
      <c r="L434" s="13"/>
      <c r="M434" s="13"/>
    </row>
    <row r="435" spans="1:13" ht="14.25" customHeight="1" x14ac:dyDescent="0.3">
      <c r="A435" s="13"/>
      <c r="B435" s="14"/>
      <c r="C435" s="14"/>
      <c r="D435" s="14"/>
      <c r="E435" s="13"/>
      <c r="F435" s="13"/>
      <c r="G435" s="13"/>
      <c r="H435" s="15"/>
      <c r="I435" s="15"/>
      <c r="J435" s="16"/>
      <c r="K435" s="13"/>
      <c r="L435" s="13"/>
      <c r="M435" s="13"/>
    </row>
    <row r="436" spans="1:13" ht="14.25" customHeight="1" x14ac:dyDescent="0.3">
      <c r="A436" s="13"/>
      <c r="B436" s="14"/>
      <c r="C436" s="14"/>
      <c r="D436" s="14"/>
      <c r="E436" s="13"/>
      <c r="F436" s="13"/>
      <c r="G436" s="13"/>
      <c r="H436" s="15"/>
      <c r="I436" s="15"/>
      <c r="J436" s="16"/>
      <c r="K436" s="13"/>
      <c r="L436" s="13"/>
      <c r="M436" s="13"/>
    </row>
    <row r="437" spans="1:13" ht="14.25" customHeight="1" x14ac:dyDescent="0.3">
      <c r="A437" s="13"/>
      <c r="B437" s="14"/>
      <c r="C437" s="14"/>
      <c r="D437" s="14"/>
      <c r="E437" s="13"/>
      <c r="F437" s="13"/>
      <c r="G437" s="13"/>
      <c r="H437" s="15"/>
      <c r="I437" s="15"/>
      <c r="J437" s="16"/>
      <c r="K437" s="13"/>
      <c r="L437" s="13"/>
      <c r="M437" s="13"/>
    </row>
    <row r="438" spans="1:13" ht="14.25" customHeight="1" x14ac:dyDescent="0.3">
      <c r="A438" s="13"/>
      <c r="B438" s="14"/>
      <c r="C438" s="14"/>
      <c r="D438" s="14"/>
      <c r="E438" s="13"/>
      <c r="F438" s="13"/>
      <c r="G438" s="13"/>
      <c r="H438" s="15"/>
      <c r="I438" s="15"/>
      <c r="J438" s="16"/>
      <c r="K438" s="13"/>
      <c r="L438" s="13"/>
      <c r="M438" s="13"/>
    </row>
    <row r="439" spans="1:13" ht="14.25" customHeight="1" x14ac:dyDescent="0.3">
      <c r="A439" s="13"/>
      <c r="B439" s="14"/>
      <c r="C439" s="14"/>
      <c r="D439" s="14"/>
      <c r="E439" s="13"/>
      <c r="F439" s="13"/>
      <c r="G439" s="13"/>
      <c r="H439" s="15"/>
      <c r="I439" s="15"/>
      <c r="J439" s="16"/>
      <c r="K439" s="13"/>
      <c r="L439" s="13"/>
      <c r="M439" s="13"/>
    </row>
    <row r="440" spans="1:13" ht="14.25" customHeight="1" x14ac:dyDescent="0.3">
      <c r="A440" s="13"/>
      <c r="B440" s="14"/>
      <c r="C440" s="14"/>
      <c r="D440" s="14"/>
      <c r="E440" s="13"/>
      <c r="F440" s="13"/>
      <c r="G440" s="13"/>
      <c r="H440" s="15"/>
      <c r="I440" s="15"/>
      <c r="J440" s="16"/>
      <c r="K440" s="13"/>
      <c r="L440" s="13"/>
      <c r="M440" s="13"/>
    </row>
    <row r="441" spans="1:13" ht="14.25" customHeight="1" x14ac:dyDescent="0.3">
      <c r="A441" s="13"/>
      <c r="B441" s="14"/>
      <c r="C441" s="14"/>
      <c r="D441" s="14"/>
      <c r="E441" s="13"/>
      <c r="F441" s="13"/>
      <c r="G441" s="13"/>
      <c r="H441" s="15"/>
      <c r="I441" s="15"/>
      <c r="J441" s="16"/>
      <c r="K441" s="13"/>
      <c r="L441" s="13"/>
      <c r="M441" s="13"/>
    </row>
    <row r="442" spans="1:13" ht="14.25" customHeight="1" x14ac:dyDescent="0.3">
      <c r="A442" s="13"/>
      <c r="B442" s="14"/>
      <c r="C442" s="14"/>
      <c r="D442" s="14"/>
      <c r="E442" s="13"/>
      <c r="F442" s="13"/>
      <c r="G442" s="13"/>
      <c r="H442" s="15"/>
      <c r="I442" s="15"/>
      <c r="J442" s="16"/>
      <c r="K442" s="13"/>
      <c r="L442" s="13"/>
      <c r="M442" s="13"/>
    </row>
    <row r="443" spans="1:13" ht="14.25" customHeight="1" x14ac:dyDescent="0.3">
      <c r="A443" s="13"/>
      <c r="B443" s="14"/>
      <c r="C443" s="14"/>
      <c r="D443" s="14"/>
      <c r="E443" s="13"/>
      <c r="F443" s="13"/>
      <c r="G443" s="13"/>
      <c r="H443" s="15"/>
      <c r="I443" s="15"/>
      <c r="J443" s="16"/>
      <c r="K443" s="13"/>
      <c r="L443" s="13"/>
      <c r="M443" s="13"/>
    </row>
    <row r="444" spans="1:13" ht="14.25" customHeight="1" x14ac:dyDescent="0.3">
      <c r="A444" s="13"/>
      <c r="B444" s="14"/>
      <c r="C444" s="14"/>
      <c r="D444" s="14"/>
      <c r="E444" s="13"/>
      <c r="F444" s="13"/>
      <c r="G444" s="13"/>
      <c r="H444" s="15"/>
      <c r="I444" s="15"/>
      <c r="J444" s="16"/>
      <c r="K444" s="13"/>
      <c r="L444" s="13"/>
      <c r="M444" s="13"/>
    </row>
    <row r="445" spans="1:13" ht="14.25" customHeight="1" x14ac:dyDescent="0.3">
      <c r="A445" s="13"/>
      <c r="B445" s="14"/>
      <c r="C445" s="14"/>
      <c r="D445" s="14"/>
      <c r="E445" s="13"/>
      <c r="F445" s="13"/>
      <c r="G445" s="13"/>
      <c r="H445" s="15"/>
      <c r="I445" s="15"/>
      <c r="J445" s="16"/>
      <c r="K445" s="13"/>
      <c r="L445" s="13"/>
      <c r="M445" s="13"/>
    </row>
    <row r="446" spans="1:13" ht="14.25" customHeight="1" x14ac:dyDescent="0.3">
      <c r="A446" s="13"/>
      <c r="B446" s="14"/>
      <c r="C446" s="14"/>
      <c r="D446" s="14"/>
      <c r="E446" s="13"/>
      <c r="F446" s="13"/>
      <c r="G446" s="13"/>
      <c r="H446" s="15"/>
      <c r="I446" s="15"/>
      <c r="J446" s="16"/>
      <c r="K446" s="13"/>
      <c r="L446" s="13"/>
      <c r="M446" s="13"/>
    </row>
    <row r="447" spans="1:13" ht="14.25" customHeight="1" x14ac:dyDescent="0.3">
      <c r="A447" s="13"/>
      <c r="B447" s="14"/>
      <c r="C447" s="14"/>
      <c r="D447" s="14"/>
      <c r="E447" s="13"/>
      <c r="F447" s="13"/>
      <c r="G447" s="13"/>
      <c r="H447" s="15"/>
      <c r="I447" s="15"/>
      <c r="J447" s="16"/>
      <c r="K447" s="13"/>
      <c r="L447" s="13"/>
      <c r="M447" s="13"/>
    </row>
    <row r="448" spans="1:13" ht="14.25" customHeight="1" x14ac:dyDescent="0.3">
      <c r="A448" s="13"/>
      <c r="B448" s="14"/>
      <c r="C448" s="14"/>
      <c r="D448" s="14"/>
      <c r="E448" s="13"/>
      <c r="F448" s="13"/>
      <c r="G448" s="13"/>
      <c r="H448" s="15"/>
      <c r="I448" s="15"/>
      <c r="J448" s="16"/>
      <c r="K448" s="13"/>
      <c r="L448" s="13"/>
      <c r="M448" s="13"/>
    </row>
    <row r="449" spans="1:13" ht="14.25" customHeight="1" x14ac:dyDescent="0.3">
      <c r="A449" s="13"/>
      <c r="B449" s="14"/>
      <c r="C449" s="14"/>
      <c r="D449" s="14"/>
      <c r="E449" s="13"/>
      <c r="F449" s="13"/>
      <c r="G449" s="13"/>
      <c r="H449" s="15"/>
      <c r="I449" s="15"/>
      <c r="J449" s="16"/>
      <c r="K449" s="13"/>
      <c r="L449" s="13"/>
      <c r="M449" s="13"/>
    </row>
    <row r="450" spans="1:13" ht="14.25" customHeight="1" x14ac:dyDescent="0.3">
      <c r="A450" s="13"/>
      <c r="B450" s="14"/>
      <c r="C450" s="14"/>
      <c r="D450" s="14"/>
      <c r="E450" s="13"/>
      <c r="F450" s="13"/>
      <c r="G450" s="13"/>
      <c r="H450" s="15"/>
      <c r="I450" s="15"/>
      <c r="J450" s="16"/>
      <c r="K450" s="13"/>
      <c r="L450" s="13"/>
      <c r="M450" s="13"/>
    </row>
    <row r="451" spans="1:13" ht="14.25" customHeight="1" x14ac:dyDescent="0.3">
      <c r="A451" s="13"/>
      <c r="B451" s="14"/>
      <c r="C451" s="14"/>
      <c r="D451" s="14"/>
      <c r="E451" s="13"/>
      <c r="F451" s="13"/>
      <c r="G451" s="13"/>
      <c r="H451" s="15"/>
      <c r="I451" s="15"/>
      <c r="J451" s="16"/>
      <c r="K451" s="13"/>
      <c r="L451" s="13"/>
      <c r="M451" s="13"/>
    </row>
    <row r="452" spans="1:13" ht="14.25" customHeight="1" x14ac:dyDescent="0.3">
      <c r="A452" s="13"/>
      <c r="B452" s="14"/>
      <c r="C452" s="14"/>
      <c r="D452" s="14"/>
      <c r="E452" s="13"/>
      <c r="F452" s="13"/>
      <c r="G452" s="13"/>
      <c r="H452" s="15"/>
      <c r="I452" s="15"/>
      <c r="J452" s="16"/>
      <c r="K452" s="13"/>
      <c r="L452" s="13"/>
      <c r="M452" s="13"/>
    </row>
    <row r="453" spans="1:13" ht="14.25" customHeight="1" x14ac:dyDescent="0.3">
      <c r="A453" s="13"/>
      <c r="B453" s="14"/>
      <c r="C453" s="14"/>
      <c r="D453" s="14"/>
      <c r="E453" s="13"/>
      <c r="F453" s="13"/>
      <c r="G453" s="13"/>
      <c r="H453" s="15"/>
      <c r="I453" s="15"/>
      <c r="J453" s="16"/>
      <c r="K453" s="13"/>
      <c r="L453" s="13"/>
      <c r="M453" s="13"/>
    </row>
    <row r="454" spans="1:13" ht="14.25" customHeight="1" x14ac:dyDescent="0.3">
      <c r="A454" s="13"/>
      <c r="B454" s="14"/>
      <c r="C454" s="14"/>
      <c r="D454" s="14"/>
      <c r="E454" s="13"/>
      <c r="F454" s="13"/>
      <c r="G454" s="13"/>
      <c r="H454" s="15"/>
      <c r="I454" s="15"/>
      <c r="J454" s="16"/>
      <c r="K454" s="13"/>
      <c r="L454" s="13"/>
      <c r="M454" s="13"/>
    </row>
    <row r="455" spans="1:13" ht="14.25" customHeight="1" x14ac:dyDescent="0.3">
      <c r="A455" s="13"/>
      <c r="B455" s="14"/>
      <c r="C455" s="14"/>
      <c r="D455" s="14"/>
      <c r="E455" s="13"/>
      <c r="F455" s="13"/>
      <c r="G455" s="13"/>
      <c r="H455" s="15"/>
      <c r="I455" s="15"/>
      <c r="J455" s="16"/>
      <c r="K455" s="13"/>
      <c r="L455" s="13"/>
      <c r="M455" s="13"/>
    </row>
    <row r="456" spans="1:13" ht="14.25" customHeight="1" x14ac:dyDescent="0.3">
      <c r="A456" s="13"/>
      <c r="B456" s="14"/>
      <c r="C456" s="14"/>
      <c r="D456" s="14"/>
      <c r="E456" s="13"/>
      <c r="F456" s="13"/>
      <c r="G456" s="13"/>
      <c r="H456" s="15"/>
      <c r="I456" s="15"/>
      <c r="J456" s="16"/>
      <c r="K456" s="13"/>
      <c r="L456" s="13"/>
      <c r="M456" s="13"/>
    </row>
    <row r="457" spans="1:13" ht="14.25" customHeight="1" x14ac:dyDescent="0.3">
      <c r="A457" s="13"/>
      <c r="B457" s="14"/>
      <c r="C457" s="14"/>
      <c r="D457" s="14"/>
      <c r="E457" s="13"/>
      <c r="F457" s="13"/>
      <c r="G457" s="13"/>
      <c r="H457" s="15"/>
      <c r="I457" s="15"/>
      <c r="J457" s="16"/>
      <c r="K457" s="13"/>
      <c r="L457" s="13"/>
      <c r="M457" s="13"/>
    </row>
    <row r="458" spans="1:13" ht="14.25" customHeight="1" x14ac:dyDescent="0.3">
      <c r="A458" s="13"/>
      <c r="B458" s="14"/>
      <c r="C458" s="14"/>
      <c r="D458" s="14"/>
      <c r="E458" s="13"/>
      <c r="F458" s="13"/>
      <c r="G458" s="13"/>
      <c r="H458" s="15"/>
      <c r="I458" s="15"/>
      <c r="J458" s="16"/>
      <c r="K458" s="13"/>
      <c r="L458" s="13"/>
      <c r="M458" s="13"/>
    </row>
    <row r="459" spans="1:13" ht="14.25" customHeight="1" x14ac:dyDescent="0.3">
      <c r="A459" s="13"/>
      <c r="B459" s="14"/>
      <c r="C459" s="14"/>
      <c r="D459" s="14"/>
      <c r="E459" s="13"/>
      <c r="F459" s="13"/>
      <c r="G459" s="13"/>
      <c r="H459" s="15"/>
      <c r="I459" s="15"/>
      <c r="J459" s="16"/>
      <c r="K459" s="13"/>
      <c r="L459" s="13"/>
      <c r="M459" s="13"/>
    </row>
    <row r="460" spans="1:13" ht="14.25" customHeight="1" x14ac:dyDescent="0.3">
      <c r="A460" s="13"/>
      <c r="B460" s="14"/>
      <c r="C460" s="14"/>
      <c r="D460" s="14"/>
      <c r="E460" s="13"/>
      <c r="F460" s="13"/>
      <c r="G460" s="13"/>
      <c r="H460" s="15"/>
      <c r="I460" s="15"/>
      <c r="J460" s="16"/>
      <c r="K460" s="13"/>
      <c r="L460" s="13"/>
      <c r="M460" s="13"/>
    </row>
    <row r="461" spans="1:13" ht="14.25" customHeight="1" x14ac:dyDescent="0.3">
      <c r="A461" s="13"/>
      <c r="B461" s="14"/>
      <c r="C461" s="14"/>
      <c r="D461" s="14"/>
      <c r="E461" s="13"/>
      <c r="F461" s="13"/>
      <c r="G461" s="13"/>
      <c r="H461" s="15"/>
      <c r="I461" s="15"/>
      <c r="J461" s="16"/>
      <c r="K461" s="13"/>
      <c r="L461" s="13"/>
      <c r="M461" s="13"/>
    </row>
    <row r="462" spans="1:13" ht="14.25" customHeight="1" x14ac:dyDescent="0.3">
      <c r="A462" s="13"/>
      <c r="B462" s="14"/>
      <c r="C462" s="14"/>
      <c r="D462" s="14"/>
      <c r="E462" s="13"/>
      <c r="F462" s="13"/>
      <c r="G462" s="13"/>
      <c r="H462" s="15"/>
      <c r="I462" s="15"/>
      <c r="J462" s="16"/>
      <c r="K462" s="13"/>
      <c r="L462" s="13"/>
      <c r="M462" s="13"/>
    </row>
    <row r="463" spans="1:13" ht="14.25" customHeight="1" x14ac:dyDescent="0.3">
      <c r="A463" s="13"/>
      <c r="B463" s="14"/>
      <c r="C463" s="14"/>
      <c r="D463" s="14"/>
      <c r="E463" s="13"/>
      <c r="F463" s="13"/>
      <c r="G463" s="13"/>
      <c r="H463" s="15"/>
      <c r="I463" s="15"/>
      <c r="J463" s="16"/>
      <c r="K463" s="13"/>
      <c r="L463" s="13"/>
      <c r="M463" s="13"/>
    </row>
    <row r="464" spans="1:13" ht="14.25" customHeight="1" x14ac:dyDescent="0.3">
      <c r="A464" s="13"/>
      <c r="B464" s="14"/>
      <c r="C464" s="14"/>
      <c r="D464" s="14"/>
      <c r="E464" s="13"/>
      <c r="F464" s="13"/>
      <c r="G464" s="13"/>
      <c r="H464" s="15"/>
      <c r="I464" s="15"/>
      <c r="J464" s="16"/>
      <c r="K464" s="13"/>
      <c r="L464" s="13"/>
      <c r="M464" s="13"/>
    </row>
    <row r="465" spans="1:13" ht="14.25" customHeight="1" x14ac:dyDescent="0.3">
      <c r="A465" s="13"/>
      <c r="B465" s="14"/>
      <c r="C465" s="14"/>
      <c r="D465" s="14"/>
      <c r="E465" s="13"/>
      <c r="F465" s="13"/>
      <c r="G465" s="13"/>
      <c r="H465" s="15"/>
      <c r="I465" s="15"/>
      <c r="J465" s="16"/>
      <c r="K465" s="13"/>
      <c r="L465" s="13"/>
      <c r="M465" s="13"/>
    </row>
    <row r="466" spans="1:13" ht="14.25" customHeight="1" x14ac:dyDescent="0.3">
      <c r="A466" s="13"/>
      <c r="B466" s="14"/>
      <c r="C466" s="14"/>
      <c r="D466" s="14"/>
      <c r="E466" s="13"/>
      <c r="F466" s="13"/>
      <c r="G466" s="13"/>
      <c r="H466" s="15"/>
      <c r="I466" s="15"/>
      <c r="J466" s="16"/>
      <c r="K466" s="13"/>
      <c r="L466" s="13"/>
      <c r="M466" s="13"/>
    </row>
    <row r="467" spans="1:13" ht="14.25" customHeight="1" x14ac:dyDescent="0.3">
      <c r="A467" s="13"/>
      <c r="B467" s="14"/>
      <c r="C467" s="14"/>
      <c r="D467" s="14"/>
      <c r="E467" s="13"/>
      <c r="F467" s="13"/>
      <c r="G467" s="13"/>
      <c r="H467" s="15"/>
      <c r="I467" s="15"/>
      <c r="J467" s="16"/>
      <c r="K467" s="13"/>
      <c r="L467" s="13"/>
      <c r="M467" s="13"/>
    </row>
    <row r="468" spans="1:13" ht="14.25" customHeight="1" x14ac:dyDescent="0.3">
      <c r="A468" s="13"/>
      <c r="B468" s="14"/>
      <c r="C468" s="14"/>
      <c r="D468" s="14"/>
      <c r="E468" s="13"/>
      <c r="F468" s="13"/>
      <c r="G468" s="13"/>
      <c r="H468" s="15"/>
      <c r="I468" s="15"/>
      <c r="J468" s="16"/>
      <c r="K468" s="13"/>
      <c r="L468" s="13"/>
      <c r="M468" s="13"/>
    </row>
    <row r="469" spans="1:13" ht="14.25" customHeight="1" x14ac:dyDescent="0.3">
      <c r="A469" s="13"/>
      <c r="B469" s="14"/>
      <c r="C469" s="14"/>
      <c r="D469" s="14"/>
      <c r="E469" s="13"/>
      <c r="F469" s="13"/>
      <c r="G469" s="13"/>
      <c r="H469" s="15"/>
      <c r="I469" s="15"/>
      <c r="J469" s="16"/>
      <c r="K469" s="13"/>
      <c r="L469" s="13"/>
      <c r="M469" s="13"/>
    </row>
    <row r="470" spans="1:13" ht="14.25" customHeight="1" x14ac:dyDescent="0.3">
      <c r="A470" s="13"/>
      <c r="B470" s="14"/>
      <c r="C470" s="14"/>
      <c r="D470" s="14"/>
      <c r="E470" s="13"/>
      <c r="F470" s="13"/>
      <c r="G470" s="13"/>
      <c r="H470" s="15"/>
      <c r="I470" s="15"/>
      <c r="J470" s="16"/>
      <c r="K470" s="13"/>
      <c r="L470" s="13"/>
      <c r="M470" s="13"/>
    </row>
    <row r="471" spans="1:13" ht="14.25" customHeight="1" x14ac:dyDescent="0.3">
      <c r="A471" s="13"/>
      <c r="B471" s="14"/>
      <c r="C471" s="14"/>
      <c r="D471" s="14"/>
      <c r="E471" s="13"/>
      <c r="F471" s="13"/>
      <c r="G471" s="13"/>
      <c r="H471" s="15"/>
      <c r="I471" s="15"/>
      <c r="J471" s="16"/>
      <c r="K471" s="13"/>
      <c r="L471" s="13"/>
      <c r="M471" s="13"/>
    </row>
    <row r="472" spans="1:13" ht="14.25" customHeight="1" x14ac:dyDescent="0.3">
      <c r="A472" s="13"/>
      <c r="B472" s="14"/>
      <c r="C472" s="14"/>
      <c r="D472" s="14"/>
      <c r="E472" s="13"/>
      <c r="F472" s="13"/>
      <c r="G472" s="13"/>
      <c r="H472" s="15"/>
      <c r="I472" s="15"/>
      <c r="J472" s="16"/>
      <c r="K472" s="13"/>
      <c r="L472" s="13"/>
      <c r="M472" s="13"/>
    </row>
    <row r="473" spans="1:13" ht="14.25" customHeight="1" x14ac:dyDescent="0.3">
      <c r="A473" s="13"/>
      <c r="B473" s="14"/>
      <c r="C473" s="14"/>
      <c r="D473" s="14"/>
      <c r="E473" s="13"/>
      <c r="F473" s="13"/>
      <c r="G473" s="13"/>
      <c r="H473" s="15"/>
      <c r="I473" s="15"/>
      <c r="J473" s="16"/>
      <c r="K473" s="13"/>
      <c r="L473" s="13"/>
      <c r="M473" s="13"/>
    </row>
    <row r="474" spans="1:13" ht="14.25" customHeight="1" x14ac:dyDescent="0.3">
      <c r="A474" s="13"/>
      <c r="B474" s="14"/>
      <c r="C474" s="14"/>
      <c r="D474" s="14"/>
      <c r="E474" s="13"/>
      <c r="F474" s="13"/>
      <c r="G474" s="13"/>
      <c r="H474" s="15"/>
      <c r="I474" s="15"/>
      <c r="J474" s="16"/>
      <c r="K474" s="13"/>
      <c r="L474" s="13"/>
      <c r="M474" s="13"/>
    </row>
    <row r="475" spans="1:13" ht="14.25" customHeight="1" x14ac:dyDescent="0.3">
      <c r="A475" s="13"/>
      <c r="B475" s="14"/>
      <c r="C475" s="14"/>
      <c r="D475" s="14"/>
      <c r="E475" s="13"/>
      <c r="F475" s="13"/>
      <c r="G475" s="13"/>
      <c r="H475" s="15"/>
      <c r="I475" s="15"/>
      <c r="J475" s="16"/>
      <c r="K475" s="13"/>
      <c r="L475" s="13"/>
      <c r="M475" s="13"/>
    </row>
    <row r="476" spans="1:13" ht="14.25" customHeight="1" x14ac:dyDescent="0.3">
      <c r="A476" s="13"/>
      <c r="B476" s="14"/>
      <c r="C476" s="14"/>
      <c r="D476" s="14"/>
      <c r="E476" s="13"/>
      <c r="F476" s="13"/>
      <c r="G476" s="13"/>
      <c r="H476" s="15"/>
      <c r="I476" s="15"/>
      <c r="J476" s="16"/>
      <c r="K476" s="13"/>
      <c r="L476" s="13"/>
      <c r="M476" s="13"/>
    </row>
    <row r="477" spans="1:13" ht="14.25" customHeight="1" x14ac:dyDescent="0.3">
      <c r="A477" s="13"/>
      <c r="B477" s="14"/>
      <c r="C477" s="14"/>
      <c r="D477" s="14"/>
      <c r="E477" s="13"/>
      <c r="F477" s="13"/>
      <c r="G477" s="13"/>
      <c r="H477" s="15"/>
      <c r="I477" s="15"/>
      <c r="J477" s="16"/>
      <c r="K477" s="13"/>
      <c r="L477" s="13"/>
      <c r="M477" s="13"/>
    </row>
    <row r="478" spans="1:13" ht="14.25" customHeight="1" x14ac:dyDescent="0.3">
      <c r="A478" s="13"/>
      <c r="B478" s="14"/>
      <c r="C478" s="14"/>
      <c r="D478" s="14"/>
      <c r="E478" s="13"/>
      <c r="F478" s="13"/>
      <c r="G478" s="13"/>
      <c r="H478" s="15"/>
      <c r="I478" s="15"/>
      <c r="J478" s="16"/>
      <c r="K478" s="13"/>
      <c r="L478" s="13"/>
      <c r="M478" s="13"/>
    </row>
    <row r="479" spans="1:13" ht="14.25" customHeight="1" x14ac:dyDescent="0.3">
      <c r="A479" s="13"/>
      <c r="B479" s="14"/>
      <c r="C479" s="14"/>
      <c r="D479" s="14"/>
      <c r="E479" s="13"/>
      <c r="F479" s="13"/>
      <c r="G479" s="13"/>
      <c r="H479" s="15"/>
      <c r="I479" s="15"/>
      <c r="J479" s="16"/>
      <c r="K479" s="13"/>
      <c r="L479" s="13"/>
      <c r="M479" s="13"/>
    </row>
    <row r="480" spans="1:13" ht="14.25" customHeight="1" x14ac:dyDescent="0.3">
      <c r="A480" s="13"/>
      <c r="B480" s="14"/>
      <c r="C480" s="14"/>
      <c r="D480" s="14"/>
      <c r="E480" s="13"/>
      <c r="F480" s="13"/>
      <c r="G480" s="13"/>
      <c r="H480" s="15"/>
      <c r="I480" s="15"/>
      <c r="J480" s="16"/>
      <c r="K480" s="13"/>
      <c r="L480" s="13"/>
      <c r="M480" s="13"/>
    </row>
    <row r="481" spans="1:13" ht="14.25" customHeight="1" x14ac:dyDescent="0.3">
      <c r="A481" s="13"/>
      <c r="B481" s="14"/>
      <c r="C481" s="14"/>
      <c r="D481" s="14"/>
      <c r="E481" s="13"/>
      <c r="F481" s="13"/>
      <c r="G481" s="13"/>
      <c r="H481" s="15"/>
      <c r="I481" s="15"/>
      <c r="J481" s="16"/>
      <c r="K481" s="13"/>
      <c r="L481" s="13"/>
      <c r="M481" s="13"/>
    </row>
    <row r="482" spans="1:13" ht="14.25" customHeight="1" x14ac:dyDescent="0.3">
      <c r="A482" s="13"/>
      <c r="B482" s="14"/>
      <c r="C482" s="14"/>
      <c r="D482" s="14"/>
      <c r="E482" s="13"/>
      <c r="F482" s="13"/>
      <c r="G482" s="13"/>
      <c r="H482" s="15"/>
      <c r="I482" s="15"/>
      <c r="J482" s="16"/>
      <c r="K482" s="13"/>
      <c r="L482" s="13"/>
      <c r="M482" s="13"/>
    </row>
    <row r="483" spans="1:13" ht="14.25" customHeight="1" x14ac:dyDescent="0.3">
      <c r="A483" s="13"/>
      <c r="B483" s="14"/>
      <c r="C483" s="14"/>
      <c r="D483" s="14"/>
      <c r="E483" s="13"/>
      <c r="F483" s="13"/>
      <c r="G483" s="13"/>
      <c r="H483" s="15"/>
      <c r="I483" s="15"/>
      <c r="J483" s="16"/>
      <c r="K483" s="13"/>
      <c r="L483" s="13"/>
      <c r="M483" s="13"/>
    </row>
    <row r="484" spans="1:13" ht="14.25" customHeight="1" x14ac:dyDescent="0.3">
      <c r="A484" s="13"/>
      <c r="B484" s="14"/>
      <c r="C484" s="14"/>
      <c r="D484" s="14"/>
      <c r="E484" s="13"/>
      <c r="F484" s="13"/>
      <c r="G484" s="13"/>
      <c r="H484" s="15"/>
      <c r="I484" s="15"/>
      <c r="J484" s="16"/>
      <c r="K484" s="13"/>
      <c r="L484" s="13"/>
      <c r="M484" s="13"/>
    </row>
    <row r="485" spans="1:13" ht="14.25" customHeight="1" x14ac:dyDescent="0.3">
      <c r="A485" s="13"/>
      <c r="B485" s="14"/>
      <c r="C485" s="14"/>
      <c r="D485" s="14"/>
      <c r="E485" s="13"/>
      <c r="F485" s="13"/>
      <c r="G485" s="13"/>
      <c r="H485" s="15"/>
      <c r="I485" s="15"/>
      <c r="J485" s="16"/>
      <c r="K485" s="13"/>
      <c r="L485" s="13"/>
      <c r="M485" s="13"/>
    </row>
    <row r="486" spans="1:13" ht="14.25" customHeight="1" x14ac:dyDescent="0.3">
      <c r="A486" s="13"/>
      <c r="B486" s="14"/>
      <c r="C486" s="14"/>
      <c r="D486" s="14"/>
      <c r="E486" s="13"/>
      <c r="F486" s="13"/>
      <c r="G486" s="13"/>
      <c r="H486" s="15"/>
      <c r="I486" s="15"/>
      <c r="J486" s="16"/>
      <c r="K486" s="13"/>
      <c r="L486" s="13"/>
      <c r="M486" s="13"/>
    </row>
    <row r="487" spans="1:13" ht="14.25" customHeight="1" x14ac:dyDescent="0.3">
      <c r="A487" s="13"/>
      <c r="B487" s="14"/>
      <c r="C487" s="14"/>
      <c r="D487" s="14"/>
      <c r="E487" s="13"/>
      <c r="F487" s="13"/>
      <c r="G487" s="13"/>
      <c r="H487" s="15"/>
      <c r="I487" s="15"/>
      <c r="J487" s="16"/>
      <c r="K487" s="13"/>
      <c r="L487" s="13"/>
      <c r="M487" s="13"/>
    </row>
    <row r="488" spans="1:13" ht="14.25" customHeight="1" x14ac:dyDescent="0.3">
      <c r="A488" s="13"/>
      <c r="B488" s="14"/>
      <c r="C488" s="14"/>
      <c r="D488" s="14"/>
      <c r="E488" s="13"/>
      <c r="F488" s="13"/>
      <c r="G488" s="13"/>
      <c r="H488" s="15"/>
      <c r="I488" s="15"/>
      <c r="J488" s="16"/>
      <c r="K488" s="13"/>
      <c r="L488" s="13"/>
      <c r="M488" s="13"/>
    </row>
    <row r="489" spans="1:13" ht="14.25" customHeight="1" x14ac:dyDescent="0.3">
      <c r="A489" s="13"/>
      <c r="B489" s="14"/>
      <c r="C489" s="14"/>
      <c r="D489" s="14"/>
      <c r="E489" s="13"/>
      <c r="F489" s="13"/>
      <c r="G489" s="13"/>
      <c r="H489" s="15"/>
      <c r="I489" s="15"/>
      <c r="J489" s="16"/>
      <c r="K489" s="13"/>
      <c r="L489" s="13"/>
      <c r="M489" s="13"/>
    </row>
    <row r="490" spans="1:13" ht="14.25" customHeight="1" x14ac:dyDescent="0.3">
      <c r="A490" s="13"/>
      <c r="B490" s="14"/>
      <c r="C490" s="14"/>
      <c r="D490" s="14"/>
      <c r="E490" s="13"/>
      <c r="F490" s="13"/>
      <c r="G490" s="13"/>
      <c r="H490" s="15"/>
      <c r="I490" s="15"/>
      <c r="J490" s="16"/>
      <c r="K490" s="13"/>
      <c r="L490" s="13"/>
      <c r="M490" s="13"/>
    </row>
    <row r="491" spans="1:13" ht="14.25" customHeight="1" x14ac:dyDescent="0.3">
      <c r="A491" s="13"/>
      <c r="B491" s="14"/>
      <c r="C491" s="14"/>
      <c r="D491" s="14"/>
      <c r="E491" s="13"/>
      <c r="F491" s="13"/>
      <c r="G491" s="13"/>
      <c r="H491" s="15"/>
      <c r="I491" s="15"/>
      <c r="J491" s="16"/>
      <c r="K491" s="13"/>
      <c r="L491" s="13"/>
      <c r="M491" s="13"/>
    </row>
    <row r="492" spans="1:13" ht="14.25" customHeight="1" x14ac:dyDescent="0.3">
      <c r="A492" s="13"/>
      <c r="B492" s="14"/>
      <c r="C492" s="14"/>
      <c r="D492" s="14"/>
      <c r="E492" s="13"/>
      <c r="F492" s="13"/>
      <c r="G492" s="13"/>
      <c r="H492" s="15"/>
      <c r="I492" s="15"/>
      <c r="J492" s="16"/>
      <c r="K492" s="13"/>
      <c r="L492" s="13"/>
      <c r="M492" s="13"/>
    </row>
    <row r="493" spans="1:13" ht="14.25" customHeight="1" x14ac:dyDescent="0.3">
      <c r="A493" s="13"/>
      <c r="B493" s="14"/>
      <c r="C493" s="14"/>
      <c r="D493" s="14"/>
      <c r="E493" s="13"/>
      <c r="F493" s="13"/>
      <c r="G493" s="13"/>
      <c r="H493" s="15"/>
      <c r="I493" s="15"/>
      <c r="J493" s="16"/>
      <c r="K493" s="13"/>
      <c r="L493" s="13"/>
      <c r="M493" s="13"/>
    </row>
    <row r="494" spans="1:13" ht="14.25" customHeight="1" x14ac:dyDescent="0.3">
      <c r="A494" s="13"/>
      <c r="B494" s="14"/>
      <c r="C494" s="14"/>
      <c r="D494" s="14"/>
      <c r="E494" s="13"/>
      <c r="F494" s="13"/>
      <c r="G494" s="13"/>
      <c r="H494" s="15"/>
      <c r="I494" s="15"/>
      <c r="J494" s="16"/>
      <c r="K494" s="13"/>
      <c r="L494" s="13"/>
      <c r="M494" s="13"/>
    </row>
    <row r="495" spans="1:13" ht="14.25" customHeight="1" x14ac:dyDescent="0.3">
      <c r="A495" s="13"/>
      <c r="B495" s="14"/>
      <c r="C495" s="14"/>
      <c r="D495" s="14"/>
      <c r="E495" s="13"/>
      <c r="F495" s="13"/>
      <c r="G495" s="13"/>
      <c r="H495" s="15"/>
      <c r="I495" s="15"/>
      <c r="J495" s="16"/>
      <c r="K495" s="13"/>
      <c r="L495" s="13"/>
      <c r="M495" s="13"/>
    </row>
    <row r="496" spans="1:13" ht="14.25" customHeight="1" x14ac:dyDescent="0.3">
      <c r="A496" s="13"/>
      <c r="B496" s="14"/>
      <c r="C496" s="14"/>
      <c r="D496" s="14"/>
      <c r="E496" s="13"/>
      <c r="F496" s="13"/>
      <c r="G496" s="13"/>
      <c r="H496" s="15"/>
      <c r="I496" s="15"/>
      <c r="J496" s="16"/>
      <c r="K496" s="13"/>
      <c r="L496" s="13"/>
      <c r="M496" s="13"/>
    </row>
    <row r="497" spans="1:13" ht="14.25" customHeight="1" x14ac:dyDescent="0.3">
      <c r="A497" s="13"/>
      <c r="B497" s="14"/>
      <c r="C497" s="14"/>
      <c r="D497" s="14"/>
      <c r="E497" s="13"/>
      <c r="F497" s="13"/>
      <c r="G497" s="13"/>
      <c r="H497" s="15"/>
      <c r="I497" s="15"/>
      <c r="J497" s="16"/>
      <c r="K497" s="13"/>
      <c r="L497" s="13"/>
      <c r="M497" s="13"/>
    </row>
    <row r="498" spans="1:13" ht="14.25" customHeight="1" x14ac:dyDescent="0.3">
      <c r="A498" s="13"/>
      <c r="B498" s="14"/>
      <c r="C498" s="14"/>
      <c r="D498" s="14"/>
      <c r="E498" s="13"/>
      <c r="F498" s="13"/>
      <c r="G498" s="13"/>
      <c r="H498" s="15"/>
      <c r="I498" s="15"/>
      <c r="J498" s="16"/>
      <c r="K498" s="13"/>
      <c r="L498" s="13"/>
      <c r="M498" s="13"/>
    </row>
    <row r="499" spans="1:13" ht="14.25" customHeight="1" x14ac:dyDescent="0.3">
      <c r="A499" s="13"/>
      <c r="B499" s="14"/>
      <c r="C499" s="14"/>
      <c r="D499" s="14"/>
      <c r="E499" s="13"/>
      <c r="F499" s="13"/>
      <c r="G499" s="13"/>
      <c r="H499" s="15"/>
      <c r="I499" s="15"/>
      <c r="J499" s="16"/>
      <c r="K499" s="13"/>
      <c r="L499" s="13"/>
      <c r="M499" s="13"/>
    </row>
    <row r="500" spans="1:13" ht="14.25" customHeight="1" x14ac:dyDescent="0.3">
      <c r="A500" s="13"/>
      <c r="B500" s="14"/>
      <c r="C500" s="14"/>
      <c r="D500" s="14"/>
      <c r="E500" s="13"/>
      <c r="F500" s="13"/>
      <c r="G500" s="13"/>
      <c r="H500" s="15"/>
      <c r="I500" s="15"/>
      <c r="J500" s="16"/>
      <c r="K500" s="13"/>
      <c r="L500" s="13"/>
      <c r="M500" s="13"/>
    </row>
    <row r="501" spans="1:13" ht="14.25" customHeight="1" x14ac:dyDescent="0.3">
      <c r="A501" s="13"/>
      <c r="B501" s="14"/>
      <c r="C501" s="14"/>
      <c r="D501" s="14"/>
      <c r="E501" s="13"/>
      <c r="F501" s="13"/>
      <c r="G501" s="13"/>
      <c r="H501" s="15"/>
      <c r="I501" s="15"/>
      <c r="J501" s="16"/>
      <c r="K501" s="13"/>
      <c r="L501" s="13"/>
      <c r="M501" s="13"/>
    </row>
    <row r="502" spans="1:13" ht="14.25" customHeight="1" x14ac:dyDescent="0.3">
      <c r="A502" s="13"/>
      <c r="B502" s="14"/>
      <c r="C502" s="14"/>
      <c r="D502" s="14"/>
      <c r="E502" s="13"/>
      <c r="F502" s="13"/>
      <c r="G502" s="13"/>
      <c r="H502" s="15"/>
      <c r="I502" s="15"/>
      <c r="J502" s="16"/>
      <c r="K502" s="13"/>
      <c r="L502" s="13"/>
      <c r="M502" s="13"/>
    </row>
    <row r="503" spans="1:13" ht="14.25" customHeight="1" x14ac:dyDescent="0.3">
      <c r="A503" s="13"/>
      <c r="B503" s="14"/>
      <c r="C503" s="14"/>
      <c r="D503" s="14"/>
      <c r="E503" s="13"/>
      <c r="F503" s="13"/>
      <c r="G503" s="13"/>
      <c r="H503" s="15"/>
      <c r="I503" s="15"/>
      <c r="J503" s="16"/>
      <c r="K503" s="13"/>
      <c r="L503" s="13"/>
      <c r="M503" s="13"/>
    </row>
    <row r="504" spans="1:13" ht="14.25" customHeight="1" x14ac:dyDescent="0.3">
      <c r="A504" s="13"/>
      <c r="B504" s="14"/>
      <c r="C504" s="14"/>
      <c r="D504" s="14"/>
      <c r="E504" s="13"/>
      <c r="F504" s="13"/>
      <c r="G504" s="13"/>
      <c r="H504" s="15"/>
      <c r="I504" s="15"/>
      <c r="J504" s="16"/>
      <c r="K504" s="13"/>
      <c r="L504" s="13"/>
      <c r="M504" s="13"/>
    </row>
    <row r="505" spans="1:13" ht="14.25" customHeight="1" x14ac:dyDescent="0.3">
      <c r="A505" s="13"/>
      <c r="B505" s="14"/>
      <c r="C505" s="14"/>
      <c r="D505" s="14"/>
      <c r="E505" s="13"/>
      <c r="F505" s="13"/>
      <c r="G505" s="13"/>
      <c r="H505" s="15"/>
      <c r="I505" s="15"/>
      <c r="J505" s="16"/>
      <c r="K505" s="13"/>
      <c r="L505" s="13"/>
      <c r="M505" s="13"/>
    </row>
    <row r="506" spans="1:13" ht="14.25" customHeight="1" x14ac:dyDescent="0.3">
      <c r="A506" s="13"/>
      <c r="B506" s="14"/>
      <c r="C506" s="14"/>
      <c r="D506" s="14"/>
      <c r="E506" s="13"/>
      <c r="F506" s="13"/>
      <c r="G506" s="13"/>
      <c r="H506" s="15"/>
      <c r="I506" s="15"/>
      <c r="J506" s="16"/>
      <c r="K506" s="13"/>
      <c r="L506" s="13"/>
      <c r="M506" s="13"/>
    </row>
    <row r="507" spans="1:13" ht="14.25" customHeight="1" x14ac:dyDescent="0.3">
      <c r="A507" s="13"/>
      <c r="B507" s="14"/>
      <c r="C507" s="14"/>
      <c r="D507" s="14"/>
      <c r="E507" s="13"/>
      <c r="F507" s="13"/>
      <c r="G507" s="13"/>
      <c r="H507" s="15"/>
      <c r="I507" s="15"/>
      <c r="J507" s="16"/>
      <c r="K507" s="13"/>
      <c r="L507" s="13"/>
      <c r="M507" s="13"/>
    </row>
    <row r="508" spans="1:13" ht="14.25" customHeight="1" x14ac:dyDescent="0.3">
      <c r="A508" s="13"/>
      <c r="B508" s="14"/>
      <c r="C508" s="14"/>
      <c r="D508" s="14"/>
      <c r="E508" s="13"/>
      <c r="F508" s="13"/>
      <c r="G508" s="13"/>
      <c r="H508" s="15"/>
      <c r="I508" s="15"/>
      <c r="J508" s="16"/>
      <c r="K508" s="13"/>
      <c r="L508" s="13"/>
      <c r="M508" s="13"/>
    </row>
    <row r="509" spans="1:13" ht="14.25" customHeight="1" x14ac:dyDescent="0.3">
      <c r="A509" s="13"/>
      <c r="B509" s="14"/>
      <c r="C509" s="14"/>
      <c r="D509" s="14"/>
      <c r="E509" s="13"/>
      <c r="F509" s="13"/>
      <c r="G509" s="13"/>
      <c r="H509" s="15"/>
      <c r="I509" s="15"/>
      <c r="J509" s="16"/>
      <c r="K509" s="13"/>
      <c r="L509" s="13"/>
      <c r="M509" s="13"/>
    </row>
    <row r="510" spans="1:13" ht="14.25" customHeight="1" x14ac:dyDescent="0.3">
      <c r="A510" s="13"/>
      <c r="B510" s="14"/>
      <c r="C510" s="14"/>
      <c r="D510" s="14"/>
      <c r="E510" s="13"/>
      <c r="F510" s="13"/>
      <c r="G510" s="13"/>
      <c r="H510" s="15"/>
      <c r="I510" s="15"/>
      <c r="J510" s="16"/>
      <c r="K510" s="13"/>
      <c r="L510" s="13"/>
      <c r="M510" s="13"/>
    </row>
    <row r="511" spans="1:13" ht="14.25" customHeight="1" x14ac:dyDescent="0.3">
      <c r="A511" s="13"/>
      <c r="B511" s="14"/>
      <c r="C511" s="14"/>
      <c r="D511" s="14"/>
      <c r="E511" s="13"/>
      <c r="F511" s="13"/>
      <c r="G511" s="13"/>
      <c r="H511" s="15"/>
      <c r="I511" s="15"/>
      <c r="J511" s="16"/>
      <c r="K511" s="13"/>
      <c r="L511" s="13"/>
      <c r="M511" s="13"/>
    </row>
    <row r="512" spans="1:13" ht="14.25" customHeight="1" x14ac:dyDescent="0.3">
      <c r="A512" s="13"/>
      <c r="B512" s="14"/>
      <c r="C512" s="14"/>
      <c r="D512" s="14"/>
      <c r="E512" s="13"/>
      <c r="F512" s="13"/>
      <c r="G512" s="13"/>
      <c r="H512" s="15"/>
      <c r="I512" s="15"/>
      <c r="J512" s="16"/>
      <c r="K512" s="13"/>
      <c r="L512" s="13"/>
      <c r="M512" s="13"/>
    </row>
    <row r="513" spans="1:13" ht="14.25" customHeight="1" x14ac:dyDescent="0.3">
      <c r="A513" s="13"/>
      <c r="B513" s="14"/>
      <c r="C513" s="14"/>
      <c r="D513" s="14"/>
      <c r="E513" s="13"/>
      <c r="F513" s="13"/>
      <c r="G513" s="13"/>
      <c r="H513" s="15"/>
      <c r="I513" s="15"/>
      <c r="J513" s="16"/>
      <c r="K513" s="13"/>
      <c r="L513" s="13"/>
      <c r="M513" s="13"/>
    </row>
    <row r="514" spans="1:13" ht="14.25" customHeight="1" x14ac:dyDescent="0.3">
      <c r="A514" s="13"/>
      <c r="B514" s="14"/>
      <c r="C514" s="14"/>
      <c r="D514" s="14"/>
      <c r="E514" s="13"/>
      <c r="F514" s="13"/>
      <c r="G514" s="13"/>
      <c r="H514" s="15"/>
      <c r="I514" s="15"/>
      <c r="J514" s="16"/>
      <c r="K514" s="13"/>
      <c r="L514" s="13"/>
      <c r="M514" s="13"/>
    </row>
    <row r="515" spans="1:13" ht="14.25" customHeight="1" x14ac:dyDescent="0.3">
      <c r="A515" s="13"/>
      <c r="B515" s="14"/>
      <c r="C515" s="14"/>
      <c r="D515" s="14"/>
      <c r="E515" s="13"/>
      <c r="F515" s="13"/>
      <c r="G515" s="13"/>
      <c r="H515" s="15"/>
      <c r="I515" s="15"/>
      <c r="J515" s="16"/>
      <c r="K515" s="13"/>
      <c r="L515" s="13"/>
      <c r="M515" s="13"/>
    </row>
    <row r="516" spans="1:13" ht="14.25" customHeight="1" x14ac:dyDescent="0.3">
      <c r="A516" s="13"/>
      <c r="B516" s="14"/>
      <c r="C516" s="14"/>
      <c r="D516" s="14"/>
      <c r="E516" s="13"/>
      <c r="F516" s="13"/>
      <c r="G516" s="13"/>
      <c r="H516" s="15"/>
      <c r="I516" s="15"/>
      <c r="J516" s="16"/>
      <c r="K516" s="13"/>
      <c r="L516" s="13"/>
      <c r="M516" s="13"/>
    </row>
    <row r="517" spans="1:13" ht="14.25" customHeight="1" x14ac:dyDescent="0.3">
      <c r="A517" s="13"/>
      <c r="B517" s="14"/>
      <c r="C517" s="14"/>
      <c r="D517" s="14"/>
      <c r="E517" s="13"/>
      <c r="F517" s="13"/>
      <c r="G517" s="13"/>
      <c r="H517" s="15"/>
      <c r="I517" s="15"/>
      <c r="J517" s="16"/>
      <c r="K517" s="13"/>
      <c r="L517" s="13"/>
      <c r="M517" s="13"/>
    </row>
    <row r="518" spans="1:13" ht="14.25" customHeight="1" x14ac:dyDescent="0.3">
      <c r="A518" s="13"/>
      <c r="B518" s="14"/>
      <c r="C518" s="14"/>
      <c r="D518" s="14"/>
      <c r="E518" s="13"/>
      <c r="F518" s="13"/>
      <c r="G518" s="13"/>
      <c r="H518" s="15"/>
      <c r="I518" s="15"/>
      <c r="J518" s="16"/>
      <c r="K518" s="13"/>
      <c r="L518" s="13"/>
      <c r="M518" s="13"/>
    </row>
    <row r="519" spans="1:13" ht="14.25" customHeight="1" x14ac:dyDescent="0.3">
      <c r="A519" s="13"/>
      <c r="B519" s="14"/>
      <c r="C519" s="14"/>
      <c r="D519" s="14"/>
      <c r="E519" s="13"/>
      <c r="F519" s="13"/>
      <c r="G519" s="13"/>
      <c r="H519" s="15"/>
      <c r="I519" s="15"/>
      <c r="J519" s="16"/>
      <c r="K519" s="13"/>
      <c r="L519" s="13"/>
      <c r="M519" s="13"/>
    </row>
    <row r="520" spans="1:13" ht="14.25" customHeight="1" x14ac:dyDescent="0.3">
      <c r="A520" s="13"/>
      <c r="B520" s="14"/>
      <c r="C520" s="14"/>
      <c r="D520" s="14"/>
      <c r="E520" s="13"/>
      <c r="F520" s="13"/>
      <c r="G520" s="13"/>
      <c r="H520" s="15"/>
      <c r="I520" s="15"/>
      <c r="J520" s="16"/>
      <c r="K520" s="13"/>
      <c r="L520" s="13"/>
      <c r="M520" s="13"/>
    </row>
    <row r="521" spans="1:13" ht="14.25" customHeight="1" x14ac:dyDescent="0.3">
      <c r="A521" s="13"/>
      <c r="B521" s="14"/>
      <c r="C521" s="14"/>
      <c r="D521" s="14"/>
      <c r="E521" s="13"/>
      <c r="F521" s="13"/>
      <c r="G521" s="13"/>
      <c r="H521" s="15"/>
      <c r="I521" s="15"/>
      <c r="J521" s="16"/>
      <c r="K521" s="13"/>
      <c r="L521" s="13"/>
      <c r="M521" s="13"/>
    </row>
    <row r="522" spans="1:13" ht="14.25" customHeight="1" x14ac:dyDescent="0.3">
      <c r="A522" s="13"/>
      <c r="B522" s="14"/>
      <c r="C522" s="14"/>
      <c r="D522" s="14"/>
      <c r="E522" s="13"/>
      <c r="F522" s="13"/>
      <c r="G522" s="13"/>
      <c r="H522" s="15"/>
      <c r="I522" s="15"/>
      <c r="J522" s="16"/>
      <c r="K522" s="13"/>
      <c r="L522" s="13"/>
      <c r="M522" s="13"/>
    </row>
    <row r="523" spans="1:13" ht="14.25" customHeight="1" x14ac:dyDescent="0.3">
      <c r="A523" s="13"/>
      <c r="B523" s="14"/>
      <c r="C523" s="14"/>
      <c r="D523" s="14"/>
      <c r="E523" s="13"/>
      <c r="F523" s="13"/>
      <c r="G523" s="13"/>
      <c r="H523" s="15"/>
      <c r="I523" s="15"/>
      <c r="J523" s="16"/>
      <c r="K523" s="13"/>
      <c r="L523" s="13"/>
      <c r="M523" s="13"/>
    </row>
    <row r="524" spans="1:13" ht="14.25" customHeight="1" x14ac:dyDescent="0.3">
      <c r="A524" s="13"/>
      <c r="B524" s="14"/>
      <c r="C524" s="14"/>
      <c r="D524" s="14"/>
      <c r="E524" s="13"/>
      <c r="F524" s="13"/>
      <c r="G524" s="13"/>
      <c r="H524" s="15"/>
      <c r="I524" s="15"/>
      <c r="J524" s="16"/>
      <c r="K524" s="13"/>
      <c r="L524" s="13"/>
      <c r="M524" s="13"/>
    </row>
    <row r="525" spans="1:13" ht="14.25" customHeight="1" x14ac:dyDescent="0.3">
      <c r="A525" s="13"/>
      <c r="B525" s="14"/>
      <c r="C525" s="14"/>
      <c r="D525" s="14"/>
      <c r="E525" s="13"/>
      <c r="F525" s="13"/>
      <c r="G525" s="13"/>
      <c r="H525" s="15"/>
      <c r="I525" s="15"/>
      <c r="J525" s="16"/>
      <c r="K525" s="13"/>
      <c r="L525" s="13"/>
      <c r="M525" s="13"/>
    </row>
    <row r="526" spans="1:13" ht="14.25" customHeight="1" x14ac:dyDescent="0.3">
      <c r="A526" s="13"/>
      <c r="B526" s="14"/>
      <c r="C526" s="14"/>
      <c r="D526" s="14"/>
      <c r="E526" s="13"/>
      <c r="F526" s="13"/>
      <c r="G526" s="13"/>
      <c r="H526" s="15"/>
      <c r="I526" s="15"/>
      <c r="J526" s="16"/>
      <c r="K526" s="13"/>
      <c r="L526" s="13"/>
      <c r="M526" s="13"/>
    </row>
    <row r="527" spans="1:13" ht="14.25" customHeight="1" x14ac:dyDescent="0.3">
      <c r="A527" s="13"/>
      <c r="B527" s="14"/>
      <c r="C527" s="14"/>
      <c r="D527" s="14"/>
      <c r="E527" s="13"/>
      <c r="F527" s="13"/>
      <c r="G527" s="13"/>
      <c r="H527" s="15"/>
      <c r="I527" s="15"/>
      <c r="J527" s="16"/>
      <c r="K527" s="13"/>
      <c r="L527" s="13"/>
      <c r="M527" s="13"/>
    </row>
    <row r="528" spans="1:13" ht="14.25" customHeight="1" x14ac:dyDescent="0.3">
      <c r="A528" s="13"/>
      <c r="B528" s="14"/>
      <c r="C528" s="14"/>
      <c r="D528" s="14"/>
      <c r="E528" s="13"/>
      <c r="F528" s="13"/>
      <c r="G528" s="13"/>
      <c r="H528" s="15"/>
      <c r="I528" s="15"/>
      <c r="J528" s="16"/>
      <c r="K528" s="13"/>
      <c r="L528" s="13"/>
      <c r="M528" s="13"/>
    </row>
    <row r="529" spans="1:13" ht="14.25" customHeight="1" x14ac:dyDescent="0.3">
      <c r="A529" s="13"/>
      <c r="B529" s="14"/>
      <c r="C529" s="14"/>
      <c r="D529" s="14"/>
      <c r="E529" s="13"/>
      <c r="F529" s="13"/>
      <c r="G529" s="13"/>
      <c r="H529" s="15"/>
      <c r="I529" s="15"/>
      <c r="J529" s="16"/>
      <c r="K529" s="13"/>
      <c r="L529" s="13"/>
      <c r="M529" s="13"/>
    </row>
    <row r="530" spans="1:13" ht="14.25" customHeight="1" x14ac:dyDescent="0.3">
      <c r="A530" s="13"/>
      <c r="B530" s="14"/>
      <c r="C530" s="14"/>
      <c r="D530" s="14"/>
      <c r="E530" s="13"/>
      <c r="F530" s="13"/>
      <c r="G530" s="13"/>
      <c r="H530" s="15"/>
      <c r="I530" s="15"/>
      <c r="J530" s="16"/>
      <c r="K530" s="13"/>
      <c r="L530" s="13"/>
      <c r="M530" s="13"/>
    </row>
    <row r="531" spans="1:13" ht="14.25" customHeight="1" x14ac:dyDescent="0.3">
      <c r="A531" s="13"/>
      <c r="B531" s="14"/>
      <c r="C531" s="14"/>
      <c r="D531" s="14"/>
      <c r="E531" s="13"/>
      <c r="F531" s="13"/>
      <c r="G531" s="13"/>
      <c r="H531" s="15"/>
      <c r="I531" s="15"/>
      <c r="J531" s="16"/>
      <c r="K531" s="13"/>
      <c r="L531" s="13"/>
      <c r="M531" s="13"/>
    </row>
    <row r="532" spans="1:13" ht="14.25" customHeight="1" x14ac:dyDescent="0.3">
      <c r="A532" s="13"/>
      <c r="B532" s="14"/>
      <c r="C532" s="14"/>
      <c r="D532" s="14"/>
      <c r="E532" s="13"/>
      <c r="F532" s="13"/>
      <c r="G532" s="13"/>
      <c r="H532" s="15"/>
      <c r="I532" s="15"/>
      <c r="J532" s="16"/>
      <c r="K532" s="13"/>
      <c r="L532" s="13"/>
      <c r="M532" s="13"/>
    </row>
    <row r="533" spans="1:13" ht="14.25" customHeight="1" x14ac:dyDescent="0.3">
      <c r="A533" s="13"/>
      <c r="B533" s="14"/>
      <c r="C533" s="14"/>
      <c r="D533" s="14"/>
      <c r="E533" s="13"/>
      <c r="F533" s="13"/>
      <c r="G533" s="13"/>
      <c r="H533" s="15"/>
      <c r="I533" s="15"/>
      <c r="J533" s="16"/>
      <c r="K533" s="13"/>
      <c r="L533" s="13"/>
      <c r="M533" s="13"/>
    </row>
    <row r="534" spans="1:13" ht="14.25" customHeight="1" x14ac:dyDescent="0.3">
      <c r="A534" s="13"/>
      <c r="B534" s="14"/>
      <c r="C534" s="14"/>
      <c r="D534" s="14"/>
      <c r="E534" s="13"/>
      <c r="F534" s="13"/>
      <c r="G534" s="13"/>
      <c r="H534" s="15"/>
      <c r="I534" s="15"/>
      <c r="J534" s="16"/>
      <c r="K534" s="13"/>
      <c r="L534" s="13"/>
      <c r="M534" s="13"/>
    </row>
    <row r="535" spans="1:13" ht="14.25" customHeight="1" x14ac:dyDescent="0.3">
      <c r="A535" s="13"/>
      <c r="B535" s="14"/>
      <c r="C535" s="14"/>
      <c r="D535" s="14"/>
      <c r="E535" s="13"/>
      <c r="F535" s="13"/>
      <c r="G535" s="13"/>
      <c r="H535" s="15"/>
      <c r="I535" s="15"/>
      <c r="J535" s="16"/>
      <c r="K535" s="13"/>
      <c r="L535" s="13"/>
      <c r="M535" s="13"/>
    </row>
    <row r="536" spans="1:13" ht="14.25" customHeight="1" x14ac:dyDescent="0.3">
      <c r="A536" s="13"/>
      <c r="B536" s="14"/>
      <c r="C536" s="14"/>
      <c r="D536" s="14"/>
      <c r="E536" s="13"/>
      <c r="F536" s="13"/>
      <c r="G536" s="13"/>
      <c r="H536" s="15"/>
      <c r="I536" s="15"/>
      <c r="J536" s="16"/>
      <c r="K536" s="13"/>
      <c r="L536" s="13"/>
      <c r="M536" s="13"/>
    </row>
    <row r="537" spans="1:13" ht="14.25" customHeight="1" x14ac:dyDescent="0.3">
      <c r="A537" s="13"/>
      <c r="B537" s="14"/>
      <c r="C537" s="14"/>
      <c r="D537" s="14"/>
      <c r="E537" s="13"/>
      <c r="F537" s="13"/>
      <c r="G537" s="13"/>
      <c r="H537" s="15"/>
      <c r="I537" s="15"/>
      <c r="J537" s="16"/>
      <c r="K537" s="13"/>
      <c r="L537" s="13"/>
      <c r="M537" s="13"/>
    </row>
    <row r="538" spans="1:13" ht="14.25" customHeight="1" x14ac:dyDescent="0.3">
      <c r="A538" s="13"/>
      <c r="B538" s="14"/>
      <c r="C538" s="14"/>
      <c r="D538" s="14"/>
      <c r="E538" s="13"/>
      <c r="F538" s="13"/>
      <c r="G538" s="13"/>
      <c r="H538" s="15"/>
      <c r="I538" s="15"/>
      <c r="J538" s="16"/>
      <c r="K538" s="13"/>
      <c r="L538" s="13"/>
      <c r="M538" s="13"/>
    </row>
    <row r="539" spans="1:13" ht="14.25" customHeight="1" x14ac:dyDescent="0.3">
      <c r="A539" s="13"/>
      <c r="B539" s="14"/>
      <c r="C539" s="14"/>
      <c r="D539" s="14"/>
      <c r="E539" s="13"/>
      <c r="F539" s="13"/>
      <c r="G539" s="13"/>
      <c r="H539" s="15"/>
      <c r="I539" s="15"/>
      <c r="J539" s="16"/>
      <c r="K539" s="13"/>
      <c r="L539" s="13"/>
      <c r="M539" s="13"/>
    </row>
    <row r="540" spans="1:13" ht="14.25" customHeight="1" x14ac:dyDescent="0.3">
      <c r="A540" s="13"/>
      <c r="B540" s="14"/>
      <c r="C540" s="14"/>
      <c r="D540" s="14"/>
      <c r="E540" s="13"/>
      <c r="F540" s="13"/>
      <c r="G540" s="13"/>
      <c r="H540" s="15"/>
      <c r="I540" s="15"/>
      <c r="J540" s="16"/>
      <c r="K540" s="13"/>
      <c r="L540" s="13"/>
      <c r="M540" s="13"/>
    </row>
    <row r="541" spans="1:13" ht="14.25" customHeight="1" x14ac:dyDescent="0.3">
      <c r="A541" s="13"/>
      <c r="B541" s="14"/>
      <c r="C541" s="14"/>
      <c r="D541" s="14"/>
      <c r="E541" s="13"/>
      <c r="F541" s="13"/>
      <c r="G541" s="13"/>
      <c r="H541" s="15"/>
      <c r="I541" s="15"/>
      <c r="J541" s="16"/>
      <c r="K541" s="13"/>
      <c r="L541" s="13"/>
      <c r="M541" s="13"/>
    </row>
    <row r="542" spans="1:13" ht="14.25" customHeight="1" x14ac:dyDescent="0.3">
      <c r="A542" s="13"/>
      <c r="B542" s="14"/>
      <c r="C542" s="14"/>
      <c r="D542" s="14"/>
      <c r="E542" s="13"/>
      <c r="F542" s="13"/>
      <c r="G542" s="13"/>
      <c r="H542" s="15"/>
      <c r="I542" s="15"/>
      <c r="J542" s="16"/>
      <c r="K542" s="13"/>
      <c r="L542" s="13"/>
      <c r="M542" s="13"/>
    </row>
    <row r="543" spans="1:13" ht="14.25" customHeight="1" x14ac:dyDescent="0.3">
      <c r="A543" s="13"/>
      <c r="B543" s="14"/>
      <c r="C543" s="14"/>
      <c r="D543" s="14"/>
      <c r="E543" s="13"/>
      <c r="F543" s="13"/>
      <c r="G543" s="13"/>
      <c r="H543" s="15"/>
      <c r="I543" s="15"/>
      <c r="J543" s="16"/>
      <c r="K543" s="13"/>
      <c r="L543" s="13"/>
      <c r="M543" s="13"/>
    </row>
    <row r="544" spans="1:13" ht="14.25" customHeight="1" x14ac:dyDescent="0.3">
      <c r="A544" s="13"/>
      <c r="B544" s="14"/>
      <c r="C544" s="14"/>
      <c r="D544" s="14"/>
      <c r="E544" s="13"/>
      <c r="F544" s="13"/>
      <c r="G544" s="13"/>
      <c r="H544" s="15"/>
      <c r="I544" s="15"/>
      <c r="J544" s="16"/>
      <c r="K544" s="13"/>
      <c r="L544" s="13"/>
      <c r="M544" s="13"/>
    </row>
    <row r="545" spans="1:13" ht="14.25" customHeight="1" x14ac:dyDescent="0.3">
      <c r="A545" s="13"/>
      <c r="B545" s="14"/>
      <c r="C545" s="14"/>
      <c r="D545" s="14"/>
      <c r="E545" s="13"/>
      <c r="F545" s="13"/>
      <c r="G545" s="13"/>
      <c r="H545" s="15"/>
      <c r="I545" s="15"/>
      <c r="J545" s="16"/>
      <c r="K545" s="13"/>
      <c r="L545" s="13"/>
      <c r="M545" s="13"/>
    </row>
    <row r="546" spans="1:13" ht="14.25" customHeight="1" x14ac:dyDescent="0.3">
      <c r="A546" s="13"/>
      <c r="B546" s="14"/>
      <c r="C546" s="14"/>
      <c r="D546" s="14"/>
      <c r="E546" s="13"/>
      <c r="F546" s="13"/>
      <c r="G546" s="13"/>
      <c r="H546" s="15"/>
      <c r="I546" s="15"/>
      <c r="J546" s="16"/>
      <c r="K546" s="13"/>
      <c r="L546" s="13"/>
      <c r="M546" s="13"/>
    </row>
    <row r="547" spans="1:13" ht="14.25" customHeight="1" x14ac:dyDescent="0.3">
      <c r="A547" s="13"/>
      <c r="B547" s="14"/>
      <c r="C547" s="14"/>
      <c r="D547" s="14"/>
      <c r="E547" s="13"/>
      <c r="F547" s="13"/>
      <c r="G547" s="13"/>
      <c r="H547" s="15"/>
      <c r="I547" s="15"/>
      <c r="J547" s="16"/>
      <c r="K547" s="13"/>
      <c r="L547" s="13"/>
      <c r="M547" s="13"/>
    </row>
    <row r="548" spans="1:13" ht="14.25" customHeight="1" x14ac:dyDescent="0.3">
      <c r="A548" s="13"/>
      <c r="B548" s="14"/>
      <c r="C548" s="14"/>
      <c r="D548" s="14"/>
      <c r="E548" s="13"/>
      <c r="F548" s="13"/>
      <c r="G548" s="13"/>
      <c r="H548" s="15"/>
      <c r="I548" s="15"/>
      <c r="J548" s="16"/>
      <c r="K548" s="13"/>
      <c r="L548" s="13"/>
      <c r="M548" s="13"/>
    </row>
    <row r="549" spans="1:13" ht="14.25" customHeight="1" x14ac:dyDescent="0.3">
      <c r="A549" s="13"/>
      <c r="B549" s="14"/>
      <c r="C549" s="14"/>
      <c r="D549" s="14"/>
      <c r="E549" s="13"/>
      <c r="F549" s="13"/>
      <c r="G549" s="13"/>
      <c r="H549" s="15"/>
      <c r="I549" s="15"/>
      <c r="J549" s="16"/>
      <c r="K549" s="13"/>
      <c r="L549" s="13"/>
      <c r="M549" s="13"/>
    </row>
    <row r="550" spans="1:13" ht="14.25" customHeight="1" x14ac:dyDescent="0.3">
      <c r="A550" s="13"/>
      <c r="B550" s="14"/>
      <c r="C550" s="14"/>
      <c r="D550" s="14"/>
      <c r="E550" s="13"/>
      <c r="F550" s="13"/>
      <c r="G550" s="13"/>
      <c r="H550" s="15"/>
      <c r="I550" s="15"/>
      <c r="J550" s="16"/>
      <c r="K550" s="13"/>
      <c r="L550" s="13"/>
      <c r="M550" s="13"/>
    </row>
    <row r="551" spans="1:13" ht="14.25" customHeight="1" x14ac:dyDescent="0.3">
      <c r="A551" s="13"/>
      <c r="B551" s="14"/>
      <c r="C551" s="14"/>
      <c r="D551" s="14"/>
      <c r="E551" s="13"/>
      <c r="F551" s="13"/>
      <c r="G551" s="13"/>
      <c r="H551" s="15"/>
      <c r="I551" s="15"/>
      <c r="J551" s="16"/>
      <c r="K551" s="13"/>
      <c r="L551" s="13"/>
      <c r="M551" s="13"/>
    </row>
    <row r="552" spans="1:13" ht="14.25" customHeight="1" x14ac:dyDescent="0.3">
      <c r="A552" s="13"/>
      <c r="B552" s="14"/>
      <c r="C552" s="14"/>
      <c r="D552" s="14"/>
      <c r="E552" s="13"/>
      <c r="F552" s="13"/>
      <c r="G552" s="13"/>
      <c r="H552" s="15"/>
      <c r="I552" s="15"/>
      <c r="J552" s="16"/>
      <c r="K552" s="13"/>
      <c r="L552" s="13"/>
      <c r="M552" s="13"/>
    </row>
    <row r="553" spans="1:13" ht="14.25" customHeight="1" x14ac:dyDescent="0.3">
      <c r="A553" s="13"/>
      <c r="B553" s="14"/>
      <c r="C553" s="14"/>
      <c r="D553" s="14"/>
      <c r="E553" s="13"/>
      <c r="F553" s="13"/>
      <c r="G553" s="13"/>
      <c r="H553" s="15"/>
      <c r="I553" s="15"/>
      <c r="J553" s="16"/>
      <c r="K553" s="13"/>
      <c r="L553" s="13"/>
      <c r="M553" s="13"/>
    </row>
    <row r="554" spans="1:13" ht="14.25" customHeight="1" x14ac:dyDescent="0.3">
      <c r="A554" s="13"/>
      <c r="B554" s="14"/>
      <c r="C554" s="14"/>
      <c r="D554" s="14"/>
      <c r="E554" s="13"/>
      <c r="F554" s="13"/>
      <c r="G554" s="13"/>
      <c r="H554" s="15"/>
      <c r="I554" s="15"/>
      <c r="J554" s="16"/>
      <c r="K554" s="13"/>
      <c r="L554" s="13"/>
      <c r="M554" s="13"/>
    </row>
    <row r="555" spans="1:13" ht="14.25" customHeight="1" x14ac:dyDescent="0.3">
      <c r="A555" s="13"/>
      <c r="B555" s="14"/>
      <c r="C555" s="14"/>
      <c r="D555" s="14"/>
      <c r="E555" s="13"/>
      <c r="F555" s="13"/>
      <c r="G555" s="13"/>
      <c r="H555" s="15"/>
      <c r="I555" s="15"/>
      <c r="J555" s="16"/>
      <c r="K555" s="13"/>
      <c r="L555" s="13"/>
      <c r="M555" s="13"/>
    </row>
    <row r="556" spans="1:13" ht="14.25" customHeight="1" x14ac:dyDescent="0.3">
      <c r="A556" s="13"/>
      <c r="B556" s="14"/>
      <c r="C556" s="14"/>
      <c r="D556" s="14"/>
      <c r="E556" s="13"/>
      <c r="F556" s="13"/>
      <c r="G556" s="13"/>
      <c r="H556" s="15"/>
      <c r="I556" s="15"/>
      <c r="J556" s="16"/>
      <c r="K556" s="13"/>
      <c r="L556" s="13"/>
      <c r="M556" s="13"/>
    </row>
    <row r="557" spans="1:13" ht="14.25" customHeight="1" x14ac:dyDescent="0.3">
      <c r="A557" s="13"/>
      <c r="B557" s="14"/>
      <c r="C557" s="14"/>
      <c r="D557" s="14"/>
      <c r="E557" s="13"/>
      <c r="F557" s="13"/>
      <c r="G557" s="13"/>
      <c r="H557" s="15"/>
      <c r="I557" s="15"/>
      <c r="J557" s="16"/>
      <c r="K557" s="13"/>
      <c r="L557" s="13"/>
      <c r="M557" s="13"/>
    </row>
    <row r="558" spans="1:13" ht="14.25" customHeight="1" x14ac:dyDescent="0.3">
      <c r="A558" s="13"/>
      <c r="B558" s="14"/>
      <c r="C558" s="14"/>
      <c r="D558" s="14"/>
      <c r="E558" s="13"/>
      <c r="F558" s="13"/>
      <c r="G558" s="13"/>
      <c r="H558" s="15"/>
      <c r="I558" s="15"/>
      <c r="J558" s="16"/>
      <c r="K558" s="13"/>
      <c r="L558" s="13"/>
      <c r="M558" s="13"/>
    </row>
    <row r="559" spans="1:13" ht="14.25" customHeight="1" x14ac:dyDescent="0.3">
      <c r="A559" s="13"/>
      <c r="B559" s="14"/>
      <c r="C559" s="14"/>
      <c r="D559" s="14"/>
      <c r="E559" s="13"/>
      <c r="F559" s="13"/>
      <c r="G559" s="13"/>
      <c r="H559" s="15"/>
      <c r="I559" s="15"/>
      <c r="J559" s="16"/>
      <c r="K559" s="13"/>
      <c r="L559" s="13"/>
      <c r="M559" s="13"/>
    </row>
    <row r="560" spans="1:13" ht="14.25" customHeight="1" x14ac:dyDescent="0.3">
      <c r="A560" s="13"/>
      <c r="B560" s="14"/>
      <c r="C560" s="14"/>
      <c r="D560" s="14"/>
      <c r="E560" s="13"/>
      <c r="F560" s="13"/>
      <c r="G560" s="13"/>
      <c r="H560" s="15"/>
      <c r="I560" s="15"/>
      <c r="J560" s="16"/>
      <c r="K560" s="13"/>
      <c r="L560" s="13"/>
      <c r="M560" s="13"/>
    </row>
    <row r="561" spans="1:13" ht="14.25" customHeight="1" x14ac:dyDescent="0.3">
      <c r="A561" s="13"/>
      <c r="B561" s="14"/>
      <c r="C561" s="14"/>
      <c r="D561" s="14"/>
      <c r="E561" s="13"/>
      <c r="F561" s="13"/>
      <c r="G561" s="13"/>
      <c r="H561" s="15"/>
      <c r="I561" s="15"/>
      <c r="J561" s="16"/>
      <c r="K561" s="13"/>
      <c r="L561" s="13"/>
      <c r="M561" s="13"/>
    </row>
    <row r="562" spans="1:13" ht="14.25" customHeight="1" x14ac:dyDescent="0.3">
      <c r="A562" s="13"/>
      <c r="B562" s="14"/>
      <c r="C562" s="14"/>
      <c r="D562" s="14"/>
      <c r="E562" s="13"/>
      <c r="F562" s="13"/>
      <c r="G562" s="13"/>
      <c r="H562" s="15"/>
      <c r="I562" s="15"/>
      <c r="J562" s="16"/>
      <c r="K562" s="13"/>
      <c r="L562" s="13"/>
      <c r="M562" s="13"/>
    </row>
    <row r="563" spans="1:13" ht="14.25" customHeight="1" x14ac:dyDescent="0.3">
      <c r="A563" s="13"/>
      <c r="B563" s="14"/>
      <c r="C563" s="14"/>
      <c r="D563" s="14"/>
      <c r="E563" s="13"/>
      <c r="F563" s="13"/>
      <c r="G563" s="13"/>
      <c r="H563" s="15"/>
      <c r="I563" s="15"/>
      <c r="J563" s="16"/>
      <c r="K563" s="13"/>
      <c r="L563" s="13"/>
      <c r="M563" s="13"/>
    </row>
    <row r="564" spans="1:13" ht="14.25" customHeight="1" x14ac:dyDescent="0.3">
      <c r="A564" s="13"/>
      <c r="B564" s="14"/>
      <c r="C564" s="14"/>
      <c r="D564" s="14"/>
      <c r="E564" s="13"/>
      <c r="F564" s="13"/>
      <c r="G564" s="13"/>
      <c r="H564" s="15"/>
      <c r="I564" s="15"/>
      <c r="J564" s="16"/>
      <c r="K564" s="13"/>
      <c r="L564" s="13"/>
      <c r="M564" s="13"/>
    </row>
    <row r="565" spans="1:13" ht="14.25" customHeight="1" x14ac:dyDescent="0.3">
      <c r="A565" s="13"/>
      <c r="B565" s="14"/>
      <c r="C565" s="14"/>
      <c r="D565" s="14"/>
      <c r="E565" s="13"/>
      <c r="F565" s="13"/>
      <c r="G565" s="13"/>
      <c r="H565" s="15"/>
      <c r="I565" s="15"/>
      <c r="J565" s="16"/>
      <c r="K565" s="13"/>
      <c r="L565" s="13"/>
      <c r="M565" s="13"/>
    </row>
    <row r="566" spans="1:13" ht="14.25" customHeight="1" x14ac:dyDescent="0.3">
      <c r="A566" s="13"/>
      <c r="B566" s="14"/>
      <c r="C566" s="14"/>
      <c r="D566" s="14"/>
      <c r="E566" s="13"/>
      <c r="F566" s="13"/>
      <c r="G566" s="13"/>
      <c r="H566" s="15"/>
      <c r="I566" s="15"/>
      <c r="J566" s="16"/>
      <c r="K566" s="13"/>
      <c r="L566" s="13"/>
      <c r="M566" s="13"/>
    </row>
    <row r="567" spans="1:13" ht="14.25" customHeight="1" x14ac:dyDescent="0.3">
      <c r="A567" s="13"/>
      <c r="B567" s="14"/>
      <c r="C567" s="14"/>
      <c r="D567" s="14"/>
      <c r="E567" s="13"/>
      <c r="F567" s="13"/>
      <c r="G567" s="13"/>
      <c r="H567" s="15"/>
      <c r="I567" s="15"/>
      <c r="J567" s="16"/>
      <c r="K567" s="13"/>
      <c r="L567" s="13"/>
      <c r="M567" s="13"/>
    </row>
    <row r="568" spans="1:13" ht="14.25" customHeight="1" x14ac:dyDescent="0.3">
      <c r="A568" s="13"/>
      <c r="B568" s="14"/>
      <c r="C568" s="14"/>
      <c r="D568" s="14"/>
      <c r="E568" s="13"/>
      <c r="F568" s="13"/>
      <c r="G568" s="13"/>
      <c r="H568" s="15"/>
      <c r="I568" s="15"/>
      <c r="J568" s="16"/>
      <c r="K568" s="13"/>
      <c r="L568" s="13"/>
      <c r="M568" s="13"/>
    </row>
    <row r="569" spans="1:13" ht="14.25" customHeight="1" x14ac:dyDescent="0.3">
      <c r="A569" s="13"/>
      <c r="B569" s="14"/>
      <c r="C569" s="14"/>
      <c r="D569" s="14"/>
      <c r="E569" s="13"/>
      <c r="F569" s="13"/>
      <c r="G569" s="13"/>
      <c r="H569" s="15"/>
      <c r="I569" s="15"/>
      <c r="J569" s="16"/>
      <c r="K569" s="13"/>
      <c r="L569" s="13"/>
      <c r="M569" s="13"/>
    </row>
    <row r="570" spans="1:13" ht="14.25" customHeight="1" x14ac:dyDescent="0.3">
      <c r="A570" s="13"/>
      <c r="B570" s="14"/>
      <c r="C570" s="14"/>
      <c r="D570" s="14"/>
      <c r="E570" s="13"/>
      <c r="F570" s="13"/>
      <c r="G570" s="13"/>
      <c r="H570" s="15"/>
      <c r="I570" s="15"/>
      <c r="J570" s="16"/>
      <c r="K570" s="13"/>
      <c r="L570" s="13"/>
      <c r="M570" s="13"/>
    </row>
    <row r="571" spans="1:13" ht="14.25" customHeight="1" x14ac:dyDescent="0.3">
      <c r="A571" s="13"/>
      <c r="B571" s="14"/>
      <c r="C571" s="14"/>
      <c r="D571" s="14"/>
      <c r="E571" s="13"/>
      <c r="F571" s="13"/>
      <c r="G571" s="13"/>
      <c r="H571" s="15"/>
      <c r="I571" s="15"/>
      <c r="J571" s="16"/>
      <c r="K571" s="13"/>
      <c r="L571" s="13"/>
      <c r="M571" s="13"/>
    </row>
    <row r="572" spans="1:13" ht="14.25" customHeight="1" x14ac:dyDescent="0.3">
      <c r="A572" s="13"/>
      <c r="B572" s="14"/>
      <c r="C572" s="14"/>
      <c r="D572" s="14"/>
      <c r="E572" s="13"/>
      <c r="F572" s="13"/>
      <c r="G572" s="13"/>
      <c r="H572" s="15"/>
      <c r="I572" s="15"/>
      <c r="J572" s="16"/>
      <c r="K572" s="13"/>
      <c r="L572" s="13"/>
      <c r="M572" s="13"/>
    </row>
    <row r="573" spans="1:13" ht="14.25" customHeight="1" x14ac:dyDescent="0.3">
      <c r="A573" s="13"/>
      <c r="B573" s="14"/>
      <c r="C573" s="14"/>
      <c r="D573" s="14"/>
      <c r="E573" s="13"/>
      <c r="F573" s="13"/>
      <c r="G573" s="13"/>
      <c r="H573" s="15"/>
      <c r="I573" s="15"/>
      <c r="J573" s="16"/>
      <c r="K573" s="13"/>
      <c r="L573" s="13"/>
      <c r="M573" s="13"/>
    </row>
    <row r="574" spans="1:13" ht="14.25" customHeight="1" x14ac:dyDescent="0.3">
      <c r="A574" s="13"/>
      <c r="B574" s="14"/>
      <c r="C574" s="14"/>
      <c r="D574" s="14"/>
      <c r="E574" s="13"/>
      <c r="F574" s="13"/>
      <c r="G574" s="13"/>
      <c r="H574" s="15"/>
      <c r="I574" s="15"/>
      <c r="J574" s="16"/>
      <c r="K574" s="13"/>
      <c r="L574" s="13"/>
      <c r="M574" s="13"/>
    </row>
    <row r="575" spans="1:13" ht="14.25" customHeight="1" x14ac:dyDescent="0.3">
      <c r="A575" s="13"/>
      <c r="B575" s="14"/>
      <c r="C575" s="14"/>
      <c r="D575" s="14"/>
      <c r="E575" s="13"/>
      <c r="F575" s="13"/>
      <c r="G575" s="13"/>
      <c r="H575" s="15"/>
      <c r="I575" s="15"/>
      <c r="J575" s="16"/>
      <c r="K575" s="13"/>
      <c r="L575" s="13"/>
      <c r="M575" s="13"/>
    </row>
    <row r="576" spans="1:13" ht="14.25" customHeight="1" x14ac:dyDescent="0.3">
      <c r="A576" s="13"/>
      <c r="B576" s="14"/>
      <c r="C576" s="14"/>
      <c r="D576" s="14"/>
      <c r="E576" s="13"/>
      <c r="F576" s="13"/>
      <c r="G576" s="13"/>
      <c r="H576" s="15"/>
      <c r="I576" s="15"/>
      <c r="J576" s="16"/>
      <c r="K576" s="13"/>
      <c r="L576" s="13"/>
      <c r="M576" s="13"/>
    </row>
    <row r="577" spans="1:13" ht="14.25" customHeight="1" x14ac:dyDescent="0.3">
      <c r="A577" s="13"/>
      <c r="B577" s="14"/>
      <c r="C577" s="14"/>
      <c r="D577" s="14"/>
      <c r="E577" s="13"/>
      <c r="F577" s="13"/>
      <c r="G577" s="13"/>
      <c r="H577" s="15"/>
      <c r="I577" s="15"/>
      <c r="J577" s="16"/>
      <c r="K577" s="13"/>
      <c r="L577" s="13"/>
      <c r="M577" s="13"/>
    </row>
    <row r="578" spans="1:13" ht="14.25" customHeight="1" x14ac:dyDescent="0.3">
      <c r="A578" s="13"/>
      <c r="B578" s="14"/>
      <c r="C578" s="14"/>
      <c r="D578" s="14"/>
      <c r="E578" s="13"/>
      <c r="F578" s="13"/>
      <c r="G578" s="13"/>
      <c r="H578" s="15"/>
      <c r="I578" s="15"/>
      <c r="J578" s="16"/>
      <c r="K578" s="13"/>
      <c r="L578" s="13"/>
      <c r="M578" s="13"/>
    </row>
    <row r="579" spans="1:13" ht="14.25" customHeight="1" x14ac:dyDescent="0.3">
      <c r="A579" s="13"/>
      <c r="B579" s="14"/>
      <c r="C579" s="14"/>
      <c r="D579" s="14"/>
      <c r="E579" s="13"/>
      <c r="F579" s="13"/>
      <c r="G579" s="13"/>
      <c r="H579" s="15"/>
      <c r="I579" s="15"/>
      <c r="J579" s="16"/>
      <c r="K579" s="13"/>
      <c r="L579" s="13"/>
      <c r="M579" s="13"/>
    </row>
    <row r="580" spans="1:13" ht="14.25" customHeight="1" x14ac:dyDescent="0.3">
      <c r="A580" s="13"/>
      <c r="B580" s="14"/>
      <c r="C580" s="14"/>
      <c r="D580" s="14"/>
      <c r="E580" s="13"/>
      <c r="F580" s="13"/>
      <c r="G580" s="13"/>
      <c r="H580" s="15"/>
      <c r="I580" s="15"/>
      <c r="J580" s="16"/>
      <c r="K580" s="13"/>
      <c r="L580" s="13"/>
      <c r="M580" s="13"/>
    </row>
    <row r="581" spans="1:13" ht="14.25" customHeight="1" x14ac:dyDescent="0.3">
      <c r="A581" s="13"/>
      <c r="B581" s="14"/>
      <c r="C581" s="14"/>
      <c r="D581" s="14"/>
      <c r="E581" s="13"/>
      <c r="F581" s="13"/>
      <c r="G581" s="13"/>
      <c r="H581" s="15"/>
      <c r="I581" s="15"/>
      <c r="J581" s="16"/>
      <c r="K581" s="13"/>
      <c r="L581" s="13"/>
      <c r="M581" s="13"/>
    </row>
    <row r="582" spans="1:13" ht="14.25" customHeight="1" x14ac:dyDescent="0.3">
      <c r="A582" s="13"/>
      <c r="B582" s="14"/>
      <c r="C582" s="14"/>
      <c r="D582" s="14"/>
      <c r="E582" s="13"/>
      <c r="F582" s="13"/>
      <c r="G582" s="13"/>
      <c r="H582" s="15"/>
      <c r="I582" s="15"/>
      <c r="J582" s="16"/>
      <c r="K582" s="13"/>
      <c r="L582" s="13"/>
      <c r="M582" s="13"/>
    </row>
    <row r="583" spans="1:13" ht="14.25" customHeight="1" x14ac:dyDescent="0.3">
      <c r="A583" s="13"/>
      <c r="B583" s="14"/>
      <c r="C583" s="14"/>
      <c r="D583" s="14"/>
      <c r="E583" s="13"/>
      <c r="F583" s="13"/>
      <c r="G583" s="13"/>
      <c r="H583" s="15"/>
      <c r="I583" s="15"/>
      <c r="J583" s="16"/>
      <c r="K583" s="13"/>
      <c r="L583" s="13"/>
      <c r="M583" s="13"/>
    </row>
    <row r="584" spans="1:13" ht="14.25" customHeight="1" x14ac:dyDescent="0.3">
      <c r="A584" s="13"/>
      <c r="B584" s="14"/>
      <c r="C584" s="14"/>
      <c r="D584" s="14"/>
      <c r="E584" s="13"/>
      <c r="F584" s="13"/>
      <c r="G584" s="13"/>
      <c r="H584" s="15"/>
      <c r="I584" s="15"/>
      <c r="J584" s="16"/>
      <c r="K584" s="13"/>
      <c r="L584" s="13"/>
      <c r="M584" s="13"/>
    </row>
    <row r="585" spans="1:13" ht="14.25" customHeight="1" x14ac:dyDescent="0.3">
      <c r="A585" s="13"/>
      <c r="B585" s="14"/>
      <c r="C585" s="14"/>
      <c r="D585" s="14"/>
      <c r="E585" s="13"/>
      <c r="F585" s="13"/>
      <c r="G585" s="13"/>
      <c r="H585" s="15"/>
      <c r="I585" s="15"/>
      <c r="J585" s="16"/>
      <c r="K585" s="13"/>
      <c r="L585" s="13"/>
      <c r="M585" s="13"/>
    </row>
    <row r="586" spans="1:13" ht="14.25" customHeight="1" x14ac:dyDescent="0.3">
      <c r="A586" s="13"/>
      <c r="B586" s="14"/>
      <c r="C586" s="14"/>
      <c r="D586" s="14"/>
      <c r="E586" s="13"/>
      <c r="F586" s="13"/>
      <c r="G586" s="13"/>
      <c r="H586" s="15"/>
      <c r="I586" s="15"/>
      <c r="J586" s="16"/>
      <c r="K586" s="13"/>
      <c r="L586" s="13"/>
      <c r="M586" s="13"/>
    </row>
    <row r="587" spans="1:13" ht="14.25" customHeight="1" x14ac:dyDescent="0.3">
      <c r="A587" s="13"/>
      <c r="B587" s="14"/>
      <c r="C587" s="14"/>
      <c r="D587" s="14"/>
      <c r="E587" s="13"/>
      <c r="F587" s="13"/>
      <c r="G587" s="13"/>
      <c r="H587" s="15"/>
      <c r="I587" s="15"/>
      <c r="J587" s="16"/>
      <c r="K587" s="13"/>
      <c r="L587" s="13"/>
      <c r="M587" s="13"/>
    </row>
    <row r="588" spans="1:13" ht="14.25" customHeight="1" x14ac:dyDescent="0.3">
      <c r="A588" s="13"/>
      <c r="B588" s="14"/>
      <c r="C588" s="14"/>
      <c r="D588" s="14"/>
      <c r="E588" s="13"/>
      <c r="F588" s="13"/>
      <c r="G588" s="13"/>
      <c r="H588" s="15"/>
      <c r="I588" s="15"/>
      <c r="J588" s="16"/>
      <c r="K588" s="13"/>
      <c r="L588" s="13"/>
      <c r="M588" s="13"/>
    </row>
    <row r="589" spans="1:13" ht="14.25" customHeight="1" x14ac:dyDescent="0.3">
      <c r="A589" s="13"/>
      <c r="B589" s="14"/>
      <c r="C589" s="14"/>
      <c r="D589" s="14"/>
      <c r="E589" s="13"/>
      <c r="F589" s="13"/>
      <c r="G589" s="13"/>
      <c r="H589" s="15"/>
      <c r="I589" s="15"/>
      <c r="J589" s="16"/>
      <c r="K589" s="13"/>
      <c r="L589" s="13"/>
      <c r="M589" s="13"/>
    </row>
    <row r="590" spans="1:13" ht="14.25" customHeight="1" x14ac:dyDescent="0.3">
      <c r="A590" s="13"/>
      <c r="B590" s="14"/>
      <c r="C590" s="14"/>
      <c r="D590" s="14"/>
      <c r="E590" s="13"/>
      <c r="F590" s="13"/>
      <c r="G590" s="13"/>
      <c r="H590" s="15"/>
      <c r="I590" s="15"/>
      <c r="J590" s="16"/>
      <c r="K590" s="13"/>
      <c r="L590" s="13"/>
      <c r="M590" s="13"/>
    </row>
    <row r="591" spans="1:13" ht="14.25" customHeight="1" x14ac:dyDescent="0.3">
      <c r="A591" s="13"/>
      <c r="B591" s="14"/>
      <c r="C591" s="14"/>
      <c r="D591" s="14"/>
      <c r="E591" s="13"/>
      <c r="F591" s="13"/>
      <c r="G591" s="13"/>
      <c r="H591" s="15"/>
      <c r="I591" s="15"/>
      <c r="J591" s="16"/>
      <c r="K591" s="13"/>
      <c r="L591" s="13"/>
      <c r="M591" s="13"/>
    </row>
    <row r="592" spans="1:13" ht="14.25" customHeight="1" x14ac:dyDescent="0.3">
      <c r="A592" s="13"/>
      <c r="B592" s="14"/>
      <c r="C592" s="14"/>
      <c r="D592" s="14"/>
      <c r="E592" s="13"/>
      <c r="F592" s="13"/>
      <c r="G592" s="13"/>
      <c r="H592" s="15"/>
      <c r="I592" s="15"/>
      <c r="J592" s="16"/>
      <c r="K592" s="13"/>
      <c r="L592" s="13"/>
      <c r="M592" s="13"/>
    </row>
    <row r="593" spans="1:13" ht="14.25" customHeight="1" x14ac:dyDescent="0.3">
      <c r="A593" s="13"/>
      <c r="B593" s="14"/>
      <c r="C593" s="14"/>
      <c r="D593" s="14"/>
      <c r="E593" s="13"/>
      <c r="F593" s="13"/>
      <c r="G593" s="13"/>
      <c r="H593" s="15"/>
      <c r="I593" s="15"/>
      <c r="J593" s="16"/>
      <c r="K593" s="13"/>
      <c r="L593" s="13"/>
      <c r="M593" s="13"/>
    </row>
    <row r="594" spans="1:13" ht="14.25" customHeight="1" x14ac:dyDescent="0.3">
      <c r="A594" s="13"/>
      <c r="B594" s="14"/>
      <c r="C594" s="14"/>
      <c r="D594" s="14"/>
      <c r="E594" s="13"/>
      <c r="F594" s="13"/>
      <c r="G594" s="13"/>
      <c r="H594" s="15"/>
      <c r="I594" s="15"/>
      <c r="J594" s="16"/>
      <c r="K594" s="13"/>
      <c r="L594" s="13"/>
      <c r="M594" s="13"/>
    </row>
    <row r="595" spans="1:13" ht="14.25" customHeight="1" x14ac:dyDescent="0.3">
      <c r="A595" s="13"/>
      <c r="B595" s="14"/>
      <c r="C595" s="14"/>
      <c r="D595" s="14"/>
      <c r="E595" s="13"/>
      <c r="F595" s="13"/>
      <c r="G595" s="13"/>
      <c r="H595" s="15"/>
      <c r="I595" s="15"/>
      <c r="J595" s="16"/>
      <c r="K595" s="13"/>
      <c r="L595" s="13"/>
      <c r="M595" s="13"/>
    </row>
    <row r="596" spans="1:13" ht="14.25" customHeight="1" x14ac:dyDescent="0.3">
      <c r="A596" s="13"/>
      <c r="B596" s="14"/>
      <c r="C596" s="14"/>
      <c r="D596" s="14"/>
      <c r="E596" s="13"/>
      <c r="F596" s="13"/>
      <c r="G596" s="13"/>
      <c r="H596" s="15"/>
      <c r="I596" s="15"/>
      <c r="J596" s="16"/>
      <c r="K596" s="13"/>
      <c r="L596" s="13"/>
      <c r="M596" s="13"/>
    </row>
    <row r="597" spans="1:13" ht="14.25" customHeight="1" x14ac:dyDescent="0.3">
      <c r="A597" s="13"/>
      <c r="B597" s="14"/>
      <c r="C597" s="14"/>
      <c r="D597" s="14"/>
      <c r="E597" s="13"/>
      <c r="F597" s="13"/>
      <c r="G597" s="13"/>
      <c r="H597" s="15"/>
      <c r="I597" s="15"/>
      <c r="J597" s="16"/>
      <c r="K597" s="13"/>
      <c r="L597" s="13"/>
      <c r="M597" s="13"/>
    </row>
    <row r="598" spans="1:13" ht="14.25" customHeight="1" x14ac:dyDescent="0.3">
      <c r="A598" s="13"/>
      <c r="B598" s="14"/>
      <c r="C598" s="14"/>
      <c r="D598" s="14"/>
      <c r="E598" s="13"/>
      <c r="F598" s="13"/>
      <c r="G598" s="13"/>
      <c r="H598" s="15"/>
      <c r="I598" s="15"/>
      <c r="J598" s="16"/>
      <c r="K598" s="13"/>
      <c r="L598" s="13"/>
      <c r="M598" s="13"/>
    </row>
    <row r="599" spans="1:13" ht="14.25" customHeight="1" x14ac:dyDescent="0.3">
      <c r="A599" s="13"/>
      <c r="B599" s="14"/>
      <c r="C599" s="14"/>
      <c r="D599" s="14"/>
      <c r="E599" s="13"/>
      <c r="F599" s="13"/>
      <c r="G599" s="13"/>
      <c r="H599" s="15"/>
      <c r="I599" s="15"/>
      <c r="J599" s="16"/>
      <c r="K599" s="13"/>
      <c r="L599" s="13"/>
      <c r="M599" s="13"/>
    </row>
    <row r="600" spans="1:13" ht="14.25" customHeight="1" x14ac:dyDescent="0.3">
      <c r="A600" s="13"/>
      <c r="B600" s="14"/>
      <c r="C600" s="14"/>
      <c r="D600" s="14"/>
      <c r="E600" s="13"/>
      <c r="F600" s="13"/>
      <c r="G600" s="13"/>
      <c r="H600" s="15"/>
      <c r="I600" s="15"/>
      <c r="J600" s="16"/>
      <c r="K600" s="13"/>
      <c r="L600" s="13"/>
      <c r="M600" s="13"/>
    </row>
    <row r="601" spans="1:13" ht="14.25" customHeight="1" x14ac:dyDescent="0.3">
      <c r="A601" s="13"/>
      <c r="B601" s="14"/>
      <c r="C601" s="14"/>
      <c r="D601" s="14"/>
      <c r="E601" s="13"/>
      <c r="F601" s="13"/>
      <c r="G601" s="13"/>
      <c r="H601" s="15"/>
      <c r="I601" s="15"/>
      <c r="J601" s="16"/>
      <c r="K601" s="13"/>
      <c r="L601" s="13"/>
      <c r="M601" s="13"/>
    </row>
    <row r="602" spans="1:13" ht="14.25" customHeight="1" x14ac:dyDescent="0.3">
      <c r="A602" s="13"/>
      <c r="B602" s="14"/>
      <c r="C602" s="14"/>
      <c r="D602" s="14"/>
      <c r="E602" s="13"/>
      <c r="F602" s="13"/>
      <c r="G602" s="13"/>
      <c r="H602" s="15"/>
      <c r="I602" s="15"/>
      <c r="J602" s="16"/>
      <c r="K602" s="13"/>
      <c r="L602" s="13"/>
      <c r="M602" s="13"/>
    </row>
    <row r="603" spans="1:13" ht="14.25" customHeight="1" x14ac:dyDescent="0.3">
      <c r="A603" s="13"/>
      <c r="B603" s="14"/>
      <c r="C603" s="14"/>
      <c r="D603" s="14"/>
      <c r="E603" s="13"/>
      <c r="F603" s="13"/>
      <c r="G603" s="13"/>
      <c r="H603" s="15"/>
      <c r="I603" s="15"/>
      <c r="J603" s="16"/>
      <c r="K603" s="13"/>
      <c r="L603" s="13"/>
      <c r="M603" s="13"/>
    </row>
    <row r="604" spans="1:13" ht="14.25" customHeight="1" x14ac:dyDescent="0.3">
      <c r="A604" s="13"/>
      <c r="B604" s="14"/>
      <c r="C604" s="14"/>
      <c r="D604" s="14"/>
      <c r="E604" s="13"/>
      <c r="F604" s="13"/>
      <c r="G604" s="13"/>
      <c r="H604" s="15"/>
      <c r="I604" s="15"/>
      <c r="J604" s="16"/>
      <c r="K604" s="13"/>
      <c r="L604" s="13"/>
      <c r="M604" s="13"/>
    </row>
    <row r="605" spans="1:13" ht="14.25" customHeight="1" x14ac:dyDescent="0.3">
      <c r="A605" s="13"/>
      <c r="B605" s="14"/>
      <c r="C605" s="14"/>
      <c r="D605" s="14"/>
      <c r="E605" s="13"/>
      <c r="F605" s="13"/>
      <c r="G605" s="13"/>
      <c r="H605" s="15"/>
      <c r="I605" s="15"/>
      <c r="J605" s="16"/>
      <c r="K605" s="13"/>
      <c r="L605" s="13"/>
      <c r="M605" s="13"/>
    </row>
    <row r="606" spans="1:13" ht="14.25" customHeight="1" x14ac:dyDescent="0.3">
      <c r="A606" s="13"/>
      <c r="B606" s="14"/>
      <c r="C606" s="14"/>
      <c r="D606" s="14"/>
      <c r="E606" s="13"/>
      <c r="F606" s="13"/>
      <c r="G606" s="13"/>
      <c r="H606" s="15"/>
      <c r="I606" s="15"/>
      <c r="J606" s="16"/>
      <c r="K606" s="13"/>
      <c r="L606" s="13"/>
      <c r="M606" s="13"/>
    </row>
    <row r="607" spans="1:13" ht="14.25" customHeight="1" x14ac:dyDescent="0.3">
      <c r="A607" s="13"/>
      <c r="B607" s="14"/>
      <c r="C607" s="14"/>
      <c r="D607" s="14"/>
      <c r="E607" s="13"/>
      <c r="F607" s="13"/>
      <c r="G607" s="13"/>
      <c r="H607" s="15"/>
      <c r="I607" s="15"/>
      <c r="J607" s="16"/>
      <c r="K607" s="13"/>
      <c r="L607" s="13"/>
      <c r="M607" s="13"/>
    </row>
    <row r="608" spans="1:13" ht="14.25" customHeight="1" x14ac:dyDescent="0.3">
      <c r="A608" s="13"/>
      <c r="B608" s="14"/>
      <c r="C608" s="14"/>
      <c r="D608" s="14"/>
      <c r="E608" s="13"/>
      <c r="F608" s="13"/>
      <c r="G608" s="13"/>
      <c r="H608" s="15"/>
      <c r="I608" s="15"/>
      <c r="J608" s="16"/>
      <c r="K608" s="13"/>
      <c r="L608" s="13"/>
      <c r="M608" s="13"/>
    </row>
    <row r="609" spans="1:13" ht="14.25" customHeight="1" x14ac:dyDescent="0.3">
      <c r="A609" s="13"/>
      <c r="B609" s="14"/>
      <c r="C609" s="14"/>
      <c r="D609" s="14"/>
      <c r="E609" s="13"/>
      <c r="F609" s="13"/>
      <c r="G609" s="13"/>
      <c r="H609" s="15"/>
      <c r="I609" s="15"/>
      <c r="J609" s="16"/>
      <c r="K609" s="13"/>
      <c r="L609" s="13"/>
      <c r="M609" s="13"/>
    </row>
    <row r="610" spans="1:13" ht="14.25" customHeight="1" x14ac:dyDescent="0.3">
      <c r="A610" s="13"/>
      <c r="B610" s="14"/>
      <c r="C610" s="14"/>
      <c r="D610" s="14"/>
      <c r="E610" s="13"/>
      <c r="F610" s="13"/>
      <c r="G610" s="13"/>
      <c r="H610" s="15"/>
      <c r="I610" s="15"/>
      <c r="J610" s="16"/>
      <c r="K610" s="13"/>
      <c r="L610" s="13"/>
      <c r="M610" s="13"/>
    </row>
    <row r="611" spans="1:13" ht="14.25" customHeight="1" x14ac:dyDescent="0.3">
      <c r="A611" s="13"/>
      <c r="B611" s="14"/>
      <c r="C611" s="14"/>
      <c r="D611" s="14"/>
      <c r="E611" s="13"/>
      <c r="F611" s="13"/>
      <c r="G611" s="13"/>
      <c r="H611" s="15"/>
      <c r="I611" s="15"/>
      <c r="J611" s="16"/>
      <c r="K611" s="13"/>
      <c r="L611" s="13"/>
      <c r="M611" s="13"/>
    </row>
    <row r="612" spans="1:13" ht="14.25" customHeight="1" x14ac:dyDescent="0.3">
      <c r="A612" s="13"/>
      <c r="B612" s="14"/>
      <c r="C612" s="14"/>
      <c r="D612" s="14"/>
      <c r="E612" s="13"/>
      <c r="F612" s="13"/>
      <c r="G612" s="13"/>
      <c r="H612" s="15"/>
      <c r="I612" s="15"/>
      <c r="J612" s="16"/>
      <c r="K612" s="13"/>
      <c r="L612" s="13"/>
      <c r="M612" s="13"/>
    </row>
    <row r="613" spans="1:13" ht="14.25" customHeight="1" x14ac:dyDescent="0.3">
      <c r="A613" s="13"/>
      <c r="B613" s="14"/>
      <c r="C613" s="14"/>
      <c r="D613" s="14"/>
      <c r="E613" s="13"/>
      <c r="F613" s="13"/>
      <c r="G613" s="13"/>
      <c r="H613" s="15"/>
      <c r="I613" s="15"/>
      <c r="J613" s="16"/>
      <c r="K613" s="13"/>
      <c r="L613" s="13"/>
      <c r="M613" s="13"/>
    </row>
    <row r="614" spans="1:13" ht="14.25" customHeight="1" x14ac:dyDescent="0.3">
      <c r="A614" s="13"/>
      <c r="B614" s="14"/>
      <c r="C614" s="14"/>
      <c r="D614" s="14"/>
      <c r="E614" s="13"/>
      <c r="F614" s="13"/>
      <c r="G614" s="13"/>
      <c r="H614" s="15"/>
      <c r="I614" s="15"/>
      <c r="J614" s="16"/>
      <c r="K614" s="13"/>
      <c r="L614" s="13"/>
      <c r="M614" s="13"/>
    </row>
    <row r="615" spans="1:13" ht="14.25" customHeight="1" x14ac:dyDescent="0.3">
      <c r="A615" s="13"/>
      <c r="B615" s="14"/>
      <c r="C615" s="14"/>
      <c r="D615" s="14"/>
      <c r="E615" s="13"/>
      <c r="F615" s="13"/>
      <c r="G615" s="13"/>
      <c r="H615" s="15"/>
      <c r="I615" s="15"/>
      <c r="J615" s="16"/>
      <c r="K615" s="13"/>
      <c r="L615" s="13"/>
      <c r="M615" s="13"/>
    </row>
    <row r="616" spans="1:13" ht="14.25" customHeight="1" x14ac:dyDescent="0.3">
      <c r="A616" s="13"/>
      <c r="B616" s="14"/>
      <c r="C616" s="14"/>
      <c r="D616" s="14"/>
      <c r="E616" s="13"/>
      <c r="F616" s="13"/>
      <c r="G616" s="13"/>
      <c r="H616" s="15"/>
      <c r="I616" s="15"/>
      <c r="J616" s="16"/>
      <c r="K616" s="13"/>
      <c r="L616" s="13"/>
      <c r="M616" s="13"/>
    </row>
    <row r="617" spans="1:13" ht="14.25" customHeight="1" x14ac:dyDescent="0.3">
      <c r="A617" s="13"/>
      <c r="B617" s="14"/>
      <c r="C617" s="14"/>
      <c r="D617" s="14"/>
      <c r="E617" s="13"/>
      <c r="F617" s="13"/>
      <c r="G617" s="13"/>
      <c r="H617" s="15"/>
      <c r="I617" s="15"/>
      <c r="J617" s="16"/>
      <c r="K617" s="13"/>
      <c r="L617" s="13"/>
      <c r="M617" s="13"/>
    </row>
    <row r="618" spans="1:13" ht="14.25" customHeight="1" x14ac:dyDescent="0.3">
      <c r="A618" s="13"/>
      <c r="B618" s="14"/>
      <c r="C618" s="14"/>
      <c r="D618" s="14"/>
      <c r="E618" s="13"/>
      <c r="F618" s="13"/>
      <c r="G618" s="13"/>
      <c r="H618" s="15"/>
      <c r="I618" s="15"/>
      <c r="J618" s="16"/>
      <c r="K618" s="13"/>
      <c r="L618" s="13"/>
      <c r="M618" s="13"/>
    </row>
    <row r="619" spans="1:13" ht="14.25" customHeight="1" x14ac:dyDescent="0.3">
      <c r="A619" s="13"/>
      <c r="B619" s="14"/>
      <c r="C619" s="14"/>
      <c r="D619" s="14"/>
      <c r="E619" s="13"/>
      <c r="F619" s="13"/>
      <c r="G619" s="13"/>
      <c r="H619" s="15"/>
      <c r="I619" s="15"/>
      <c r="J619" s="16"/>
      <c r="K619" s="13"/>
      <c r="L619" s="13"/>
      <c r="M619" s="13"/>
    </row>
    <row r="620" spans="1:13" ht="14.25" customHeight="1" x14ac:dyDescent="0.3">
      <c r="A620" s="13"/>
      <c r="B620" s="14"/>
      <c r="C620" s="14"/>
      <c r="D620" s="14"/>
      <c r="E620" s="13"/>
      <c r="F620" s="13"/>
      <c r="G620" s="13"/>
      <c r="H620" s="15"/>
      <c r="I620" s="15"/>
      <c r="J620" s="16"/>
      <c r="K620" s="13"/>
      <c r="L620" s="13"/>
      <c r="M620" s="13"/>
    </row>
    <row r="621" spans="1:13" ht="14.25" customHeight="1" x14ac:dyDescent="0.3">
      <c r="A621" s="13"/>
      <c r="B621" s="14"/>
      <c r="C621" s="14"/>
      <c r="D621" s="14"/>
      <c r="E621" s="13"/>
      <c r="F621" s="13"/>
      <c r="G621" s="13"/>
      <c r="H621" s="15"/>
      <c r="I621" s="15"/>
      <c r="J621" s="16"/>
      <c r="K621" s="13"/>
      <c r="L621" s="13"/>
      <c r="M621" s="13"/>
    </row>
    <row r="622" spans="1:13" ht="14.25" customHeight="1" x14ac:dyDescent="0.3">
      <c r="A622" s="13"/>
      <c r="B622" s="14"/>
      <c r="C622" s="14"/>
      <c r="D622" s="14"/>
      <c r="E622" s="13"/>
      <c r="F622" s="13"/>
      <c r="G622" s="13"/>
      <c r="H622" s="15"/>
      <c r="I622" s="15"/>
      <c r="J622" s="16"/>
      <c r="K622" s="13"/>
      <c r="L622" s="13"/>
      <c r="M622" s="13"/>
    </row>
    <row r="623" spans="1:13" ht="14.25" customHeight="1" x14ac:dyDescent="0.3">
      <c r="A623" s="13"/>
      <c r="B623" s="14"/>
      <c r="C623" s="14"/>
      <c r="D623" s="14"/>
      <c r="E623" s="13"/>
      <c r="F623" s="13"/>
      <c r="G623" s="13"/>
      <c r="H623" s="15"/>
      <c r="I623" s="15"/>
      <c r="J623" s="16"/>
      <c r="K623" s="13"/>
      <c r="L623" s="13"/>
      <c r="M623" s="13"/>
    </row>
    <row r="624" spans="1:13" ht="14.25" customHeight="1" x14ac:dyDescent="0.3">
      <c r="A624" s="13"/>
      <c r="B624" s="14"/>
      <c r="C624" s="14"/>
      <c r="D624" s="14"/>
      <c r="E624" s="13"/>
      <c r="F624" s="13"/>
      <c r="G624" s="13"/>
      <c r="H624" s="15"/>
      <c r="I624" s="15"/>
      <c r="J624" s="16"/>
      <c r="K624" s="13"/>
      <c r="L624" s="13"/>
      <c r="M624" s="13"/>
    </row>
    <row r="625" spans="1:13" ht="14.25" customHeight="1" x14ac:dyDescent="0.3">
      <c r="A625" s="13"/>
      <c r="B625" s="14"/>
      <c r="C625" s="14"/>
      <c r="D625" s="14"/>
      <c r="E625" s="13"/>
      <c r="F625" s="13"/>
      <c r="G625" s="13"/>
      <c r="H625" s="15"/>
      <c r="I625" s="15"/>
      <c r="J625" s="16"/>
      <c r="K625" s="13"/>
      <c r="L625" s="13"/>
      <c r="M625" s="13"/>
    </row>
    <row r="626" spans="1:13" ht="14.25" customHeight="1" x14ac:dyDescent="0.3">
      <c r="A626" s="13"/>
      <c r="B626" s="14"/>
      <c r="C626" s="14"/>
      <c r="D626" s="14"/>
      <c r="E626" s="13"/>
      <c r="F626" s="13"/>
      <c r="G626" s="13"/>
      <c r="H626" s="15"/>
      <c r="I626" s="15"/>
      <c r="J626" s="16"/>
      <c r="K626" s="13"/>
      <c r="L626" s="13"/>
      <c r="M626" s="13"/>
    </row>
    <row r="627" spans="1:13" ht="14.25" customHeight="1" x14ac:dyDescent="0.3">
      <c r="A627" s="13"/>
      <c r="B627" s="14"/>
      <c r="C627" s="14"/>
      <c r="D627" s="14"/>
      <c r="E627" s="13"/>
      <c r="F627" s="13"/>
      <c r="G627" s="13"/>
      <c r="H627" s="15"/>
      <c r="I627" s="15"/>
      <c r="J627" s="16"/>
      <c r="K627" s="13"/>
      <c r="L627" s="13"/>
      <c r="M627" s="13"/>
    </row>
    <row r="628" spans="1:13" ht="14.25" customHeight="1" x14ac:dyDescent="0.3">
      <c r="A628" s="13"/>
      <c r="B628" s="14"/>
      <c r="C628" s="14"/>
      <c r="D628" s="14"/>
      <c r="E628" s="13"/>
      <c r="F628" s="13"/>
      <c r="G628" s="13"/>
      <c r="H628" s="15"/>
      <c r="I628" s="15"/>
      <c r="J628" s="16"/>
      <c r="K628" s="13"/>
      <c r="L628" s="13"/>
      <c r="M628" s="13"/>
    </row>
    <row r="629" spans="1:13" ht="14.25" customHeight="1" x14ac:dyDescent="0.3">
      <c r="A629" s="13"/>
      <c r="B629" s="14"/>
      <c r="C629" s="14"/>
      <c r="D629" s="14"/>
      <c r="E629" s="13"/>
      <c r="F629" s="13"/>
      <c r="G629" s="13"/>
      <c r="H629" s="15"/>
      <c r="I629" s="15"/>
      <c r="J629" s="16"/>
      <c r="K629" s="13"/>
      <c r="L629" s="13"/>
      <c r="M629" s="13"/>
    </row>
    <row r="630" spans="1:13" ht="14.25" customHeight="1" x14ac:dyDescent="0.3">
      <c r="A630" s="13"/>
      <c r="B630" s="14"/>
      <c r="C630" s="14"/>
      <c r="D630" s="14"/>
      <c r="E630" s="13"/>
      <c r="F630" s="13"/>
      <c r="G630" s="13"/>
      <c r="H630" s="15"/>
      <c r="I630" s="15"/>
      <c r="J630" s="16"/>
      <c r="K630" s="13"/>
      <c r="L630" s="13"/>
      <c r="M630" s="13"/>
    </row>
    <row r="631" spans="1:13" ht="14.25" customHeight="1" x14ac:dyDescent="0.3">
      <c r="A631" s="13"/>
      <c r="B631" s="14"/>
      <c r="C631" s="14"/>
      <c r="D631" s="14"/>
      <c r="E631" s="13"/>
      <c r="F631" s="13"/>
      <c r="G631" s="13"/>
      <c r="H631" s="15"/>
      <c r="I631" s="15"/>
      <c r="J631" s="16"/>
      <c r="K631" s="13"/>
      <c r="L631" s="13"/>
      <c r="M631" s="13"/>
    </row>
    <row r="632" spans="1:13" ht="14.25" customHeight="1" x14ac:dyDescent="0.3">
      <c r="A632" s="13"/>
      <c r="B632" s="14"/>
      <c r="C632" s="14"/>
      <c r="D632" s="14"/>
      <c r="E632" s="13"/>
      <c r="F632" s="13"/>
      <c r="G632" s="13"/>
      <c r="H632" s="15"/>
      <c r="I632" s="15"/>
      <c r="J632" s="16"/>
      <c r="K632" s="13"/>
      <c r="L632" s="13"/>
      <c r="M632" s="13"/>
    </row>
    <row r="633" spans="1:13" ht="14.25" customHeight="1" x14ac:dyDescent="0.3">
      <c r="A633" s="13"/>
      <c r="B633" s="14"/>
      <c r="C633" s="14"/>
      <c r="D633" s="14"/>
      <c r="E633" s="13"/>
      <c r="F633" s="13"/>
      <c r="G633" s="13"/>
      <c r="H633" s="15"/>
      <c r="I633" s="15"/>
      <c r="J633" s="16"/>
      <c r="K633" s="13"/>
      <c r="L633" s="13"/>
      <c r="M633" s="13"/>
    </row>
    <row r="634" spans="1:13" ht="14.25" customHeight="1" x14ac:dyDescent="0.3">
      <c r="A634" s="13"/>
      <c r="B634" s="14"/>
      <c r="C634" s="14"/>
      <c r="D634" s="14"/>
      <c r="E634" s="13"/>
      <c r="F634" s="13"/>
      <c r="G634" s="13"/>
      <c r="H634" s="15"/>
      <c r="I634" s="15"/>
      <c r="J634" s="16"/>
      <c r="K634" s="13"/>
      <c r="L634" s="13"/>
      <c r="M634" s="13"/>
    </row>
    <row r="635" spans="1:13" ht="14.25" customHeight="1" x14ac:dyDescent="0.3">
      <c r="A635" s="13"/>
      <c r="B635" s="14"/>
      <c r="C635" s="14"/>
      <c r="D635" s="14"/>
      <c r="E635" s="13"/>
      <c r="F635" s="13"/>
      <c r="G635" s="13"/>
      <c r="H635" s="15"/>
      <c r="I635" s="15"/>
      <c r="J635" s="16"/>
      <c r="K635" s="13"/>
      <c r="L635" s="13"/>
      <c r="M635" s="13"/>
    </row>
    <row r="636" spans="1:13" ht="14.25" customHeight="1" x14ac:dyDescent="0.3">
      <c r="A636" s="13"/>
      <c r="B636" s="14"/>
      <c r="C636" s="14"/>
      <c r="D636" s="14"/>
      <c r="E636" s="13"/>
      <c r="F636" s="13"/>
      <c r="G636" s="13"/>
      <c r="H636" s="15"/>
      <c r="I636" s="15"/>
      <c r="J636" s="16"/>
      <c r="K636" s="13"/>
      <c r="L636" s="13"/>
      <c r="M636" s="13"/>
    </row>
    <row r="637" spans="1:13" ht="14.25" customHeight="1" x14ac:dyDescent="0.3">
      <c r="A637" s="13"/>
      <c r="B637" s="14"/>
      <c r="C637" s="14"/>
      <c r="D637" s="14"/>
      <c r="E637" s="13"/>
      <c r="F637" s="13"/>
      <c r="G637" s="13"/>
      <c r="H637" s="15"/>
      <c r="I637" s="15"/>
      <c r="J637" s="16"/>
      <c r="K637" s="13"/>
      <c r="L637" s="13"/>
      <c r="M637" s="13"/>
    </row>
    <row r="638" spans="1:13" ht="14.25" customHeight="1" x14ac:dyDescent="0.3">
      <c r="A638" s="13"/>
      <c r="B638" s="14"/>
      <c r="C638" s="14"/>
      <c r="D638" s="14"/>
      <c r="E638" s="13"/>
      <c r="F638" s="13"/>
      <c r="G638" s="13"/>
      <c r="H638" s="15"/>
      <c r="I638" s="15"/>
      <c r="J638" s="16"/>
      <c r="K638" s="13"/>
      <c r="L638" s="13"/>
      <c r="M638" s="13"/>
    </row>
    <row r="639" spans="1:13" ht="14.25" customHeight="1" x14ac:dyDescent="0.3">
      <c r="A639" s="13"/>
      <c r="B639" s="14"/>
      <c r="C639" s="14"/>
      <c r="D639" s="14"/>
      <c r="E639" s="13"/>
      <c r="F639" s="13"/>
      <c r="G639" s="13"/>
      <c r="H639" s="15"/>
      <c r="I639" s="15"/>
      <c r="J639" s="16"/>
      <c r="K639" s="13"/>
      <c r="L639" s="13"/>
      <c r="M639" s="13"/>
    </row>
    <row r="640" spans="1:13" ht="14.25" customHeight="1" x14ac:dyDescent="0.3">
      <c r="A640" s="13"/>
      <c r="B640" s="14"/>
      <c r="C640" s="14"/>
      <c r="D640" s="14"/>
      <c r="E640" s="13"/>
      <c r="F640" s="13"/>
      <c r="G640" s="13"/>
      <c r="H640" s="15"/>
      <c r="I640" s="15"/>
      <c r="J640" s="16"/>
      <c r="K640" s="13"/>
      <c r="L640" s="13"/>
      <c r="M640" s="13"/>
    </row>
    <row r="641" spans="1:13" ht="14.25" customHeight="1" x14ac:dyDescent="0.3">
      <c r="A641" s="13"/>
      <c r="B641" s="14"/>
      <c r="C641" s="14"/>
      <c r="D641" s="14"/>
      <c r="E641" s="13"/>
      <c r="F641" s="13"/>
      <c r="G641" s="13"/>
      <c r="H641" s="15"/>
      <c r="I641" s="15"/>
      <c r="J641" s="16"/>
      <c r="K641" s="13"/>
      <c r="L641" s="13"/>
      <c r="M641" s="13"/>
    </row>
    <row r="642" spans="1:13" ht="14.25" customHeight="1" x14ac:dyDescent="0.3">
      <c r="A642" s="13"/>
      <c r="B642" s="14"/>
      <c r="C642" s="14"/>
      <c r="D642" s="14"/>
      <c r="E642" s="13"/>
      <c r="F642" s="13"/>
      <c r="G642" s="13"/>
      <c r="H642" s="15"/>
      <c r="I642" s="15"/>
      <c r="J642" s="16"/>
      <c r="K642" s="13"/>
      <c r="L642" s="13"/>
      <c r="M642" s="13"/>
    </row>
    <row r="643" spans="1:13" ht="14.25" customHeight="1" x14ac:dyDescent="0.3">
      <c r="A643" s="13"/>
      <c r="B643" s="14"/>
      <c r="C643" s="14"/>
      <c r="D643" s="14"/>
      <c r="E643" s="13"/>
      <c r="F643" s="13"/>
      <c r="G643" s="13"/>
      <c r="H643" s="15"/>
      <c r="I643" s="15"/>
      <c r="J643" s="16"/>
      <c r="K643" s="13"/>
      <c r="L643" s="13"/>
      <c r="M643" s="13"/>
    </row>
    <row r="644" spans="1:13" ht="14.25" customHeight="1" x14ac:dyDescent="0.3">
      <c r="A644" s="13"/>
      <c r="B644" s="14"/>
      <c r="C644" s="14"/>
      <c r="D644" s="14"/>
      <c r="E644" s="13"/>
      <c r="F644" s="13"/>
      <c r="G644" s="13"/>
      <c r="H644" s="15"/>
      <c r="I644" s="15"/>
      <c r="J644" s="16"/>
      <c r="K644" s="13"/>
      <c r="L644" s="13"/>
      <c r="M644" s="13"/>
    </row>
    <row r="645" spans="1:13" ht="14.25" customHeight="1" x14ac:dyDescent="0.3">
      <c r="A645" s="13"/>
      <c r="B645" s="14"/>
      <c r="C645" s="14"/>
      <c r="D645" s="14"/>
      <c r="E645" s="13"/>
      <c r="F645" s="13"/>
      <c r="G645" s="13"/>
      <c r="H645" s="15"/>
      <c r="I645" s="15"/>
      <c r="J645" s="16"/>
      <c r="K645" s="13"/>
      <c r="L645" s="13"/>
      <c r="M645" s="13"/>
    </row>
    <row r="646" spans="1:13" ht="14.25" customHeight="1" x14ac:dyDescent="0.3">
      <c r="A646" s="13"/>
      <c r="B646" s="14"/>
      <c r="C646" s="14"/>
      <c r="D646" s="14"/>
      <c r="E646" s="13"/>
      <c r="F646" s="13"/>
      <c r="G646" s="13"/>
      <c r="H646" s="15"/>
      <c r="I646" s="15"/>
      <c r="J646" s="16"/>
      <c r="K646" s="13"/>
      <c r="L646" s="13"/>
      <c r="M646" s="13"/>
    </row>
    <row r="647" spans="1:13" ht="14.25" customHeight="1" x14ac:dyDescent="0.3">
      <c r="A647" s="13"/>
      <c r="B647" s="14"/>
      <c r="C647" s="14"/>
      <c r="D647" s="14"/>
      <c r="E647" s="13"/>
      <c r="F647" s="13"/>
      <c r="G647" s="13"/>
      <c r="H647" s="15"/>
      <c r="I647" s="15"/>
      <c r="J647" s="16"/>
      <c r="K647" s="13"/>
      <c r="L647" s="13"/>
      <c r="M647" s="13"/>
    </row>
    <row r="648" spans="1:13" ht="14.25" customHeight="1" x14ac:dyDescent="0.3">
      <c r="A648" s="13"/>
      <c r="B648" s="14"/>
      <c r="C648" s="14"/>
      <c r="D648" s="14"/>
      <c r="E648" s="13"/>
      <c r="F648" s="13"/>
      <c r="G648" s="13"/>
      <c r="H648" s="15"/>
      <c r="I648" s="15"/>
      <c r="J648" s="16"/>
      <c r="K648" s="13"/>
      <c r="L648" s="13"/>
      <c r="M648" s="13"/>
    </row>
    <row r="649" spans="1:13" ht="14.25" customHeight="1" x14ac:dyDescent="0.3">
      <c r="A649" s="13"/>
      <c r="B649" s="14"/>
      <c r="C649" s="14"/>
      <c r="D649" s="14"/>
      <c r="E649" s="13"/>
      <c r="F649" s="13"/>
      <c r="G649" s="13"/>
      <c r="H649" s="15"/>
      <c r="I649" s="15"/>
      <c r="J649" s="16"/>
      <c r="K649" s="13"/>
      <c r="L649" s="13"/>
      <c r="M649" s="13"/>
    </row>
    <row r="650" spans="1:13" ht="14.25" customHeight="1" x14ac:dyDescent="0.3">
      <c r="A650" s="13"/>
      <c r="B650" s="14"/>
      <c r="C650" s="14"/>
      <c r="D650" s="14"/>
      <c r="E650" s="13"/>
      <c r="F650" s="13"/>
      <c r="G650" s="13"/>
      <c r="H650" s="15"/>
      <c r="I650" s="15"/>
      <c r="J650" s="16"/>
      <c r="K650" s="13"/>
      <c r="L650" s="13"/>
      <c r="M650" s="13"/>
    </row>
    <row r="651" spans="1:13" ht="14.25" customHeight="1" x14ac:dyDescent="0.3">
      <c r="A651" s="13"/>
      <c r="B651" s="14"/>
      <c r="C651" s="14"/>
      <c r="D651" s="14"/>
      <c r="E651" s="13"/>
      <c r="F651" s="13"/>
      <c r="G651" s="13"/>
      <c r="H651" s="15"/>
      <c r="I651" s="15"/>
      <c r="J651" s="16"/>
      <c r="K651" s="13"/>
      <c r="L651" s="13"/>
      <c r="M651" s="13"/>
    </row>
    <row r="652" spans="1:13" ht="14.25" customHeight="1" x14ac:dyDescent="0.3">
      <c r="A652" s="13"/>
      <c r="B652" s="14"/>
      <c r="C652" s="14"/>
      <c r="D652" s="14"/>
      <c r="E652" s="13"/>
      <c r="F652" s="13"/>
      <c r="G652" s="13"/>
      <c r="H652" s="15"/>
      <c r="I652" s="15"/>
      <c r="J652" s="16"/>
      <c r="K652" s="13"/>
      <c r="L652" s="13"/>
      <c r="M652" s="13"/>
    </row>
    <row r="653" spans="1:13" ht="14.25" customHeight="1" x14ac:dyDescent="0.3">
      <c r="A653" s="13"/>
      <c r="B653" s="14"/>
      <c r="C653" s="14"/>
      <c r="D653" s="14"/>
      <c r="E653" s="13"/>
      <c r="F653" s="13"/>
      <c r="G653" s="13"/>
      <c r="H653" s="15"/>
      <c r="I653" s="15"/>
      <c r="J653" s="16"/>
      <c r="K653" s="13"/>
      <c r="L653" s="13"/>
      <c r="M653" s="13"/>
    </row>
    <row r="654" spans="1:13" ht="14.25" customHeight="1" x14ac:dyDescent="0.3">
      <c r="A654" s="13"/>
      <c r="B654" s="14"/>
      <c r="C654" s="14"/>
      <c r="D654" s="14"/>
      <c r="E654" s="13"/>
      <c r="F654" s="13"/>
      <c r="G654" s="13"/>
      <c r="H654" s="15"/>
      <c r="I654" s="15"/>
      <c r="J654" s="16"/>
      <c r="K654" s="13"/>
      <c r="L654" s="13"/>
      <c r="M654" s="13"/>
    </row>
    <row r="655" spans="1:13" ht="14.25" customHeight="1" x14ac:dyDescent="0.3">
      <c r="A655" s="13"/>
      <c r="B655" s="14"/>
      <c r="C655" s="14"/>
      <c r="D655" s="14"/>
      <c r="E655" s="13"/>
      <c r="F655" s="13"/>
      <c r="G655" s="13"/>
      <c r="H655" s="15"/>
      <c r="I655" s="15"/>
      <c r="J655" s="16"/>
      <c r="K655" s="13"/>
      <c r="L655" s="13"/>
      <c r="M655" s="13"/>
    </row>
    <row r="656" spans="1:13" ht="14.25" customHeight="1" x14ac:dyDescent="0.3">
      <c r="A656" s="13"/>
      <c r="B656" s="14"/>
      <c r="C656" s="14"/>
      <c r="D656" s="14"/>
      <c r="E656" s="13"/>
      <c r="F656" s="13"/>
      <c r="G656" s="13"/>
      <c r="H656" s="15"/>
      <c r="I656" s="15"/>
      <c r="J656" s="16"/>
      <c r="K656" s="13"/>
      <c r="L656" s="13"/>
      <c r="M656" s="13"/>
    </row>
    <row r="657" spans="1:13" ht="14.25" customHeight="1" x14ac:dyDescent="0.3">
      <c r="A657" s="13"/>
      <c r="B657" s="14"/>
      <c r="C657" s="14"/>
      <c r="D657" s="14"/>
      <c r="E657" s="13"/>
      <c r="F657" s="13"/>
      <c r="G657" s="13"/>
      <c r="H657" s="15"/>
      <c r="I657" s="15"/>
      <c r="J657" s="16"/>
      <c r="K657" s="13"/>
      <c r="L657" s="13"/>
      <c r="M657" s="13"/>
    </row>
    <row r="658" spans="1:13" ht="14.25" customHeight="1" x14ac:dyDescent="0.3">
      <c r="A658" s="13"/>
      <c r="B658" s="14"/>
      <c r="C658" s="14"/>
      <c r="D658" s="14"/>
      <c r="E658" s="13"/>
      <c r="F658" s="13"/>
      <c r="G658" s="13"/>
      <c r="H658" s="15"/>
      <c r="I658" s="15"/>
      <c r="J658" s="16"/>
      <c r="K658" s="13"/>
      <c r="L658" s="13"/>
      <c r="M658" s="13"/>
    </row>
    <row r="659" spans="1:13" ht="14.25" customHeight="1" x14ac:dyDescent="0.3">
      <c r="A659" s="13"/>
      <c r="B659" s="14"/>
      <c r="C659" s="14"/>
      <c r="D659" s="14"/>
      <c r="E659" s="13"/>
      <c r="F659" s="13"/>
      <c r="G659" s="13"/>
      <c r="H659" s="15"/>
      <c r="I659" s="15"/>
      <c r="J659" s="16"/>
      <c r="K659" s="13"/>
      <c r="L659" s="13"/>
      <c r="M659" s="13"/>
    </row>
    <row r="660" spans="1:13" ht="14.25" customHeight="1" x14ac:dyDescent="0.3">
      <c r="A660" s="13"/>
      <c r="B660" s="14"/>
      <c r="C660" s="14"/>
      <c r="D660" s="14"/>
      <c r="E660" s="13"/>
      <c r="F660" s="13"/>
      <c r="G660" s="13"/>
      <c r="H660" s="15"/>
      <c r="I660" s="15"/>
      <c r="J660" s="16"/>
      <c r="K660" s="13"/>
      <c r="L660" s="13"/>
      <c r="M660" s="13"/>
    </row>
    <row r="661" spans="1:13" ht="14.25" customHeight="1" x14ac:dyDescent="0.3">
      <c r="A661" s="13"/>
      <c r="B661" s="14"/>
      <c r="C661" s="14"/>
      <c r="D661" s="14"/>
      <c r="E661" s="13"/>
      <c r="F661" s="13"/>
      <c r="G661" s="13"/>
      <c r="H661" s="15"/>
      <c r="I661" s="15"/>
      <c r="J661" s="16"/>
      <c r="K661" s="13"/>
      <c r="L661" s="13"/>
      <c r="M661" s="13"/>
    </row>
    <row r="662" spans="1:13" ht="14.25" customHeight="1" x14ac:dyDescent="0.3">
      <c r="A662" s="13"/>
      <c r="B662" s="14"/>
      <c r="C662" s="14"/>
      <c r="D662" s="14"/>
      <c r="E662" s="13"/>
      <c r="F662" s="13"/>
      <c r="G662" s="13"/>
      <c r="H662" s="15"/>
      <c r="I662" s="15"/>
      <c r="J662" s="16"/>
      <c r="K662" s="13"/>
      <c r="L662" s="13"/>
      <c r="M662" s="13"/>
    </row>
    <row r="663" spans="1:13" ht="14.25" customHeight="1" x14ac:dyDescent="0.3">
      <c r="A663" s="13"/>
      <c r="B663" s="14"/>
      <c r="C663" s="14"/>
      <c r="D663" s="14"/>
      <c r="E663" s="13"/>
      <c r="F663" s="13"/>
      <c r="G663" s="13"/>
      <c r="H663" s="15"/>
      <c r="I663" s="15"/>
      <c r="J663" s="16"/>
      <c r="K663" s="13"/>
      <c r="L663" s="13"/>
      <c r="M663" s="13"/>
    </row>
    <row r="664" spans="1:13" ht="14.25" customHeight="1" x14ac:dyDescent="0.3">
      <c r="A664" s="13"/>
      <c r="B664" s="14"/>
      <c r="C664" s="14"/>
      <c r="D664" s="14"/>
      <c r="E664" s="13"/>
      <c r="F664" s="13"/>
      <c r="G664" s="13"/>
      <c r="H664" s="15"/>
      <c r="I664" s="15"/>
      <c r="J664" s="16"/>
      <c r="K664" s="13"/>
      <c r="L664" s="13"/>
      <c r="M664" s="13"/>
    </row>
    <row r="665" spans="1:13" ht="14.25" customHeight="1" x14ac:dyDescent="0.3">
      <c r="A665" s="13"/>
      <c r="B665" s="14"/>
      <c r="C665" s="14"/>
      <c r="D665" s="14"/>
      <c r="E665" s="13"/>
      <c r="F665" s="13"/>
      <c r="G665" s="13"/>
      <c r="H665" s="15"/>
      <c r="I665" s="15"/>
      <c r="J665" s="16"/>
      <c r="K665" s="13"/>
      <c r="L665" s="13"/>
      <c r="M665" s="13"/>
    </row>
    <row r="666" spans="1:13" ht="14.25" customHeight="1" x14ac:dyDescent="0.3">
      <c r="A666" s="13"/>
      <c r="B666" s="14"/>
      <c r="C666" s="14"/>
      <c r="D666" s="14"/>
      <c r="E666" s="13"/>
      <c r="F666" s="13"/>
      <c r="G666" s="13"/>
      <c r="H666" s="15"/>
      <c r="I666" s="15"/>
      <c r="J666" s="16"/>
      <c r="K666" s="13"/>
      <c r="L666" s="13"/>
      <c r="M666" s="13"/>
    </row>
    <row r="667" spans="1:13" ht="14.25" customHeight="1" x14ac:dyDescent="0.3">
      <c r="A667" s="13"/>
      <c r="B667" s="14"/>
      <c r="C667" s="14"/>
      <c r="D667" s="14"/>
      <c r="E667" s="13"/>
      <c r="F667" s="13"/>
      <c r="G667" s="13"/>
      <c r="H667" s="15"/>
      <c r="I667" s="15"/>
      <c r="J667" s="16"/>
      <c r="K667" s="13"/>
      <c r="L667" s="13"/>
      <c r="M667" s="13"/>
    </row>
    <row r="668" spans="1:13" ht="14.25" customHeight="1" x14ac:dyDescent="0.3">
      <c r="A668" s="13"/>
      <c r="B668" s="14"/>
      <c r="C668" s="14"/>
      <c r="D668" s="14"/>
      <c r="E668" s="13"/>
      <c r="F668" s="13"/>
      <c r="G668" s="13"/>
      <c r="H668" s="15"/>
      <c r="I668" s="15"/>
      <c r="J668" s="16"/>
      <c r="K668" s="13"/>
      <c r="L668" s="13"/>
      <c r="M668" s="13"/>
    </row>
    <row r="669" spans="1:13" ht="14.25" customHeight="1" x14ac:dyDescent="0.3">
      <c r="A669" s="13"/>
      <c r="B669" s="14"/>
      <c r="C669" s="14"/>
      <c r="D669" s="14"/>
      <c r="E669" s="13"/>
      <c r="F669" s="13"/>
      <c r="G669" s="13"/>
      <c r="H669" s="15"/>
      <c r="I669" s="15"/>
      <c r="J669" s="16"/>
      <c r="K669" s="13"/>
      <c r="L669" s="13"/>
      <c r="M669" s="13"/>
    </row>
    <row r="670" spans="1:13" ht="14.25" customHeight="1" x14ac:dyDescent="0.3">
      <c r="A670" s="13"/>
      <c r="B670" s="14"/>
      <c r="C670" s="14"/>
      <c r="D670" s="14"/>
      <c r="E670" s="13"/>
      <c r="F670" s="13"/>
      <c r="G670" s="13"/>
      <c r="H670" s="15"/>
      <c r="I670" s="15"/>
      <c r="J670" s="16"/>
      <c r="K670" s="13"/>
      <c r="L670" s="13"/>
      <c r="M670" s="13"/>
    </row>
    <row r="671" spans="1:13" ht="14.25" customHeight="1" x14ac:dyDescent="0.3">
      <c r="A671" s="13"/>
      <c r="B671" s="14"/>
      <c r="C671" s="14"/>
      <c r="D671" s="14"/>
      <c r="E671" s="13"/>
      <c r="F671" s="13"/>
      <c r="G671" s="13"/>
      <c r="H671" s="15"/>
      <c r="I671" s="15"/>
      <c r="J671" s="16"/>
      <c r="K671" s="13"/>
      <c r="L671" s="13"/>
      <c r="M671" s="13"/>
    </row>
    <row r="672" spans="1:13" ht="14.25" customHeight="1" x14ac:dyDescent="0.3">
      <c r="A672" s="13"/>
      <c r="B672" s="14"/>
      <c r="C672" s="14"/>
      <c r="D672" s="14"/>
      <c r="E672" s="13"/>
      <c r="F672" s="13"/>
      <c r="G672" s="13"/>
      <c r="H672" s="15"/>
      <c r="I672" s="15"/>
      <c r="J672" s="16"/>
      <c r="K672" s="13"/>
      <c r="L672" s="13"/>
      <c r="M672" s="13"/>
    </row>
    <row r="673" spans="1:13" ht="14.25" customHeight="1" x14ac:dyDescent="0.3">
      <c r="A673" s="13"/>
      <c r="B673" s="14"/>
      <c r="C673" s="14"/>
      <c r="D673" s="14"/>
      <c r="E673" s="13"/>
      <c r="F673" s="13"/>
      <c r="G673" s="13"/>
      <c r="H673" s="15"/>
      <c r="I673" s="15"/>
      <c r="J673" s="16"/>
      <c r="K673" s="13"/>
      <c r="L673" s="13"/>
      <c r="M673" s="13"/>
    </row>
    <row r="674" spans="1:13" ht="14.25" customHeight="1" x14ac:dyDescent="0.3">
      <c r="A674" s="13"/>
      <c r="B674" s="14"/>
      <c r="C674" s="14"/>
      <c r="D674" s="14"/>
      <c r="E674" s="13"/>
      <c r="F674" s="13"/>
      <c r="G674" s="13"/>
      <c r="H674" s="15"/>
      <c r="I674" s="15"/>
      <c r="J674" s="16"/>
      <c r="K674" s="13"/>
      <c r="L674" s="13"/>
      <c r="M674" s="13"/>
    </row>
    <row r="675" spans="1:13" ht="14.25" customHeight="1" x14ac:dyDescent="0.3">
      <c r="A675" s="13"/>
      <c r="B675" s="14"/>
      <c r="C675" s="14"/>
      <c r="D675" s="14"/>
      <c r="E675" s="13"/>
      <c r="F675" s="13"/>
      <c r="G675" s="13"/>
      <c r="H675" s="15"/>
      <c r="I675" s="15"/>
      <c r="J675" s="16"/>
      <c r="K675" s="13"/>
      <c r="L675" s="13"/>
      <c r="M675" s="13"/>
    </row>
    <row r="676" spans="1:13" ht="14.25" customHeight="1" x14ac:dyDescent="0.3">
      <c r="A676" s="13"/>
      <c r="B676" s="14"/>
      <c r="C676" s="14"/>
      <c r="D676" s="14"/>
      <c r="E676" s="13"/>
      <c r="F676" s="13"/>
      <c r="G676" s="13"/>
      <c r="H676" s="15"/>
      <c r="I676" s="15"/>
      <c r="J676" s="16"/>
      <c r="K676" s="13"/>
      <c r="L676" s="13"/>
      <c r="M676" s="13"/>
    </row>
    <row r="677" spans="1:13" ht="14.25" customHeight="1" x14ac:dyDescent="0.3">
      <c r="A677" s="13"/>
      <c r="B677" s="14"/>
      <c r="C677" s="14"/>
      <c r="D677" s="14"/>
      <c r="E677" s="13"/>
      <c r="F677" s="13"/>
      <c r="G677" s="13"/>
      <c r="H677" s="15"/>
      <c r="I677" s="15"/>
      <c r="J677" s="16"/>
      <c r="K677" s="13"/>
      <c r="L677" s="13"/>
      <c r="M677" s="13"/>
    </row>
    <row r="678" spans="1:13" ht="14.25" customHeight="1" x14ac:dyDescent="0.3">
      <c r="A678" s="13"/>
      <c r="B678" s="14"/>
      <c r="C678" s="14"/>
      <c r="D678" s="14"/>
      <c r="E678" s="13"/>
      <c r="F678" s="13"/>
      <c r="G678" s="13"/>
      <c r="H678" s="15"/>
      <c r="I678" s="15"/>
      <c r="J678" s="16"/>
      <c r="K678" s="13"/>
      <c r="L678" s="13"/>
      <c r="M678" s="13"/>
    </row>
    <row r="679" spans="1:13" ht="14.25" customHeight="1" x14ac:dyDescent="0.3">
      <c r="A679" s="13"/>
      <c r="B679" s="14"/>
      <c r="C679" s="14"/>
      <c r="D679" s="14"/>
      <c r="E679" s="13"/>
      <c r="F679" s="13"/>
      <c r="G679" s="13"/>
      <c r="H679" s="15"/>
      <c r="I679" s="15"/>
      <c r="J679" s="16"/>
      <c r="K679" s="13"/>
      <c r="L679" s="13"/>
      <c r="M679" s="13"/>
    </row>
    <row r="680" spans="1:13" ht="14.25" customHeight="1" x14ac:dyDescent="0.3">
      <c r="A680" s="13"/>
      <c r="B680" s="14"/>
      <c r="C680" s="14"/>
      <c r="D680" s="14"/>
      <c r="E680" s="13"/>
      <c r="F680" s="13"/>
      <c r="G680" s="13"/>
      <c r="H680" s="15"/>
      <c r="I680" s="15"/>
      <c r="J680" s="16"/>
      <c r="K680" s="13"/>
      <c r="L680" s="13"/>
      <c r="M680" s="13"/>
    </row>
    <row r="681" spans="1:13" ht="14.25" customHeight="1" x14ac:dyDescent="0.3">
      <c r="A681" s="13"/>
      <c r="B681" s="14"/>
      <c r="C681" s="14"/>
      <c r="D681" s="14"/>
      <c r="E681" s="13"/>
      <c r="F681" s="13"/>
      <c r="G681" s="13"/>
      <c r="H681" s="15"/>
      <c r="I681" s="15"/>
      <c r="J681" s="16"/>
      <c r="K681" s="13"/>
      <c r="L681" s="13"/>
      <c r="M681" s="13"/>
    </row>
    <row r="682" spans="1:13" ht="14.25" customHeight="1" x14ac:dyDescent="0.3">
      <c r="A682" s="13"/>
      <c r="B682" s="14"/>
      <c r="C682" s="14"/>
      <c r="D682" s="14"/>
      <c r="E682" s="13"/>
      <c r="F682" s="13"/>
      <c r="G682" s="13"/>
      <c r="H682" s="15"/>
      <c r="I682" s="15"/>
      <c r="J682" s="16"/>
      <c r="K682" s="13"/>
      <c r="L682" s="13"/>
      <c r="M682" s="13"/>
    </row>
    <row r="683" spans="1:13" ht="14.25" customHeight="1" x14ac:dyDescent="0.3">
      <c r="A683" s="13"/>
      <c r="B683" s="14"/>
      <c r="C683" s="14"/>
      <c r="D683" s="14"/>
      <c r="E683" s="13"/>
      <c r="F683" s="13"/>
      <c r="G683" s="13"/>
      <c r="H683" s="15"/>
      <c r="I683" s="15"/>
      <c r="J683" s="16"/>
      <c r="K683" s="13"/>
      <c r="L683" s="13"/>
      <c r="M683" s="13"/>
    </row>
    <row r="684" spans="1:13" ht="14.25" customHeight="1" x14ac:dyDescent="0.3">
      <c r="A684" s="13"/>
      <c r="B684" s="14"/>
      <c r="C684" s="14"/>
      <c r="D684" s="14"/>
      <c r="E684" s="13"/>
      <c r="F684" s="13"/>
      <c r="G684" s="13"/>
      <c r="H684" s="15"/>
      <c r="I684" s="15"/>
      <c r="J684" s="16"/>
      <c r="K684" s="13"/>
      <c r="L684" s="13"/>
      <c r="M684" s="13"/>
    </row>
    <row r="685" spans="1:13" ht="14.25" customHeight="1" x14ac:dyDescent="0.3">
      <c r="A685" s="13"/>
      <c r="B685" s="14"/>
      <c r="C685" s="14"/>
      <c r="D685" s="14"/>
      <c r="E685" s="13"/>
      <c r="F685" s="13"/>
      <c r="G685" s="13"/>
      <c r="H685" s="15"/>
      <c r="I685" s="15"/>
      <c r="J685" s="16"/>
      <c r="K685" s="13"/>
      <c r="L685" s="13"/>
      <c r="M685" s="13"/>
    </row>
    <row r="686" spans="1:13" ht="14.25" customHeight="1" x14ac:dyDescent="0.3">
      <c r="A686" s="13"/>
      <c r="B686" s="14"/>
      <c r="C686" s="14"/>
      <c r="D686" s="14"/>
      <c r="E686" s="13"/>
      <c r="F686" s="13"/>
      <c r="G686" s="13"/>
      <c r="H686" s="15"/>
      <c r="I686" s="15"/>
      <c r="J686" s="16"/>
      <c r="K686" s="13"/>
      <c r="L686" s="13"/>
      <c r="M686" s="13"/>
    </row>
    <row r="687" spans="1:13" ht="14.25" customHeight="1" x14ac:dyDescent="0.3">
      <c r="A687" s="13"/>
      <c r="B687" s="14"/>
      <c r="C687" s="14"/>
      <c r="D687" s="14"/>
      <c r="E687" s="13"/>
      <c r="F687" s="13"/>
      <c r="G687" s="13"/>
      <c r="H687" s="15"/>
      <c r="I687" s="15"/>
      <c r="J687" s="16"/>
      <c r="K687" s="13"/>
      <c r="L687" s="13"/>
      <c r="M687" s="13"/>
    </row>
    <row r="688" spans="1:13" ht="14.25" customHeight="1" x14ac:dyDescent="0.3">
      <c r="A688" s="13"/>
      <c r="B688" s="14"/>
      <c r="C688" s="14"/>
      <c r="D688" s="14"/>
      <c r="E688" s="13"/>
      <c r="F688" s="13"/>
      <c r="G688" s="13"/>
      <c r="H688" s="15"/>
      <c r="I688" s="15"/>
      <c r="J688" s="16"/>
      <c r="K688" s="13"/>
      <c r="L688" s="13"/>
      <c r="M688" s="13"/>
    </row>
    <row r="689" spans="1:13" ht="14.25" customHeight="1" x14ac:dyDescent="0.3">
      <c r="A689" s="13"/>
      <c r="B689" s="14"/>
      <c r="C689" s="14"/>
      <c r="D689" s="14"/>
      <c r="E689" s="13"/>
      <c r="F689" s="13"/>
      <c r="G689" s="13"/>
      <c r="H689" s="15"/>
      <c r="I689" s="15"/>
      <c r="J689" s="16"/>
      <c r="K689" s="13"/>
      <c r="L689" s="13"/>
      <c r="M689" s="13"/>
    </row>
    <row r="690" spans="1:13" ht="14.25" customHeight="1" x14ac:dyDescent="0.3">
      <c r="A690" s="13"/>
      <c r="B690" s="14"/>
      <c r="C690" s="14"/>
      <c r="D690" s="14"/>
      <c r="E690" s="13"/>
      <c r="F690" s="13"/>
      <c r="G690" s="13"/>
      <c r="H690" s="15"/>
      <c r="I690" s="15"/>
      <c r="J690" s="16"/>
      <c r="K690" s="13"/>
      <c r="L690" s="13"/>
      <c r="M690" s="13"/>
    </row>
    <row r="691" spans="1:13" ht="14.25" customHeight="1" x14ac:dyDescent="0.3">
      <c r="A691" s="13"/>
      <c r="B691" s="14"/>
      <c r="C691" s="14"/>
      <c r="D691" s="14"/>
      <c r="E691" s="13"/>
      <c r="F691" s="13"/>
      <c r="G691" s="13"/>
      <c r="H691" s="15"/>
      <c r="I691" s="15"/>
      <c r="J691" s="16"/>
      <c r="K691" s="13"/>
      <c r="L691" s="13"/>
      <c r="M691" s="13"/>
    </row>
    <row r="692" spans="1:13" ht="14.25" customHeight="1" x14ac:dyDescent="0.3">
      <c r="A692" s="13"/>
      <c r="B692" s="14"/>
      <c r="C692" s="14"/>
      <c r="D692" s="14"/>
      <c r="E692" s="13"/>
      <c r="F692" s="13"/>
      <c r="G692" s="13"/>
      <c r="H692" s="15"/>
      <c r="I692" s="15"/>
      <c r="J692" s="16"/>
      <c r="K692" s="13"/>
      <c r="L692" s="13"/>
      <c r="M692" s="13"/>
    </row>
    <row r="693" spans="1:13" ht="14.25" customHeight="1" x14ac:dyDescent="0.3">
      <c r="A693" s="13"/>
      <c r="B693" s="14"/>
      <c r="C693" s="14"/>
      <c r="D693" s="14"/>
      <c r="E693" s="13"/>
      <c r="F693" s="13"/>
      <c r="G693" s="13"/>
      <c r="H693" s="15"/>
      <c r="I693" s="15"/>
      <c r="J693" s="16"/>
      <c r="K693" s="13"/>
      <c r="L693" s="13"/>
      <c r="M693" s="13"/>
    </row>
    <row r="694" spans="1:13" ht="14.25" customHeight="1" x14ac:dyDescent="0.3">
      <c r="A694" s="13"/>
      <c r="B694" s="14"/>
      <c r="C694" s="14"/>
      <c r="D694" s="14"/>
      <c r="E694" s="13"/>
      <c r="F694" s="13"/>
      <c r="G694" s="13"/>
      <c r="H694" s="15"/>
      <c r="I694" s="15"/>
      <c r="J694" s="16"/>
      <c r="K694" s="13"/>
      <c r="L694" s="13"/>
      <c r="M694" s="13"/>
    </row>
    <row r="695" spans="1:13" ht="14.25" customHeight="1" x14ac:dyDescent="0.3">
      <c r="A695" s="13"/>
      <c r="B695" s="14"/>
      <c r="C695" s="14"/>
      <c r="D695" s="14"/>
      <c r="E695" s="13"/>
      <c r="F695" s="13"/>
      <c r="G695" s="13"/>
      <c r="H695" s="15"/>
      <c r="I695" s="15"/>
      <c r="J695" s="16"/>
      <c r="K695" s="13"/>
      <c r="L695" s="13"/>
      <c r="M695" s="13"/>
    </row>
    <row r="696" spans="1:13" ht="14.25" customHeight="1" x14ac:dyDescent="0.3">
      <c r="A696" s="13"/>
      <c r="B696" s="14"/>
      <c r="C696" s="14"/>
      <c r="D696" s="14"/>
      <c r="E696" s="13"/>
      <c r="F696" s="13"/>
      <c r="G696" s="13"/>
      <c r="H696" s="15"/>
      <c r="I696" s="15"/>
      <c r="J696" s="16"/>
      <c r="K696" s="13"/>
      <c r="L696" s="13"/>
      <c r="M696" s="13"/>
    </row>
    <row r="697" spans="1:13" ht="14.25" customHeight="1" x14ac:dyDescent="0.3">
      <c r="A697" s="13"/>
      <c r="B697" s="14"/>
      <c r="C697" s="14"/>
      <c r="D697" s="14"/>
      <c r="E697" s="13"/>
      <c r="F697" s="13"/>
      <c r="G697" s="13"/>
      <c r="H697" s="15"/>
      <c r="I697" s="15"/>
      <c r="J697" s="16"/>
      <c r="K697" s="13"/>
      <c r="L697" s="13"/>
      <c r="M697" s="13"/>
    </row>
    <row r="698" spans="1:13" ht="14.25" customHeight="1" x14ac:dyDescent="0.3">
      <c r="A698" s="13"/>
      <c r="B698" s="14"/>
      <c r="C698" s="14"/>
      <c r="D698" s="14"/>
      <c r="E698" s="13"/>
      <c r="F698" s="13"/>
      <c r="G698" s="13"/>
      <c r="H698" s="15"/>
      <c r="I698" s="15"/>
      <c r="J698" s="16"/>
      <c r="K698" s="13"/>
      <c r="L698" s="13"/>
      <c r="M698" s="13"/>
    </row>
    <row r="699" spans="1:13" ht="14.25" customHeight="1" x14ac:dyDescent="0.3">
      <c r="A699" s="13"/>
      <c r="B699" s="14"/>
      <c r="C699" s="14"/>
      <c r="D699" s="14"/>
      <c r="E699" s="13"/>
      <c r="F699" s="13"/>
      <c r="G699" s="13"/>
      <c r="H699" s="15"/>
      <c r="I699" s="15"/>
      <c r="J699" s="16"/>
      <c r="K699" s="13"/>
      <c r="L699" s="13"/>
      <c r="M699" s="13"/>
    </row>
    <row r="700" spans="1:13" ht="14.25" customHeight="1" x14ac:dyDescent="0.3">
      <c r="A700" s="13"/>
      <c r="B700" s="14"/>
      <c r="C700" s="14"/>
      <c r="D700" s="14"/>
      <c r="E700" s="13"/>
      <c r="F700" s="13"/>
      <c r="G700" s="13"/>
      <c r="H700" s="15"/>
      <c r="I700" s="15"/>
      <c r="J700" s="16"/>
      <c r="K700" s="13"/>
      <c r="L700" s="13"/>
      <c r="M700" s="13"/>
    </row>
    <row r="701" spans="1:13" ht="14.25" customHeight="1" x14ac:dyDescent="0.3">
      <c r="A701" s="13"/>
      <c r="B701" s="14"/>
      <c r="C701" s="14"/>
      <c r="D701" s="14"/>
      <c r="E701" s="13"/>
      <c r="F701" s="13"/>
      <c r="G701" s="13"/>
      <c r="H701" s="15"/>
      <c r="I701" s="15"/>
      <c r="J701" s="16"/>
      <c r="K701" s="13"/>
      <c r="L701" s="13"/>
      <c r="M701" s="13"/>
    </row>
    <row r="702" spans="1:13" ht="14.25" customHeight="1" x14ac:dyDescent="0.3">
      <c r="A702" s="13"/>
      <c r="B702" s="14"/>
      <c r="C702" s="14"/>
      <c r="D702" s="14"/>
      <c r="E702" s="13"/>
      <c r="F702" s="13"/>
      <c r="G702" s="13"/>
      <c r="H702" s="15"/>
      <c r="I702" s="15"/>
      <c r="J702" s="16"/>
      <c r="K702" s="13"/>
      <c r="L702" s="13"/>
      <c r="M702" s="13"/>
    </row>
    <row r="703" spans="1:13" ht="14.25" customHeight="1" x14ac:dyDescent="0.3">
      <c r="A703" s="13"/>
      <c r="B703" s="14"/>
      <c r="C703" s="14"/>
      <c r="D703" s="14"/>
      <c r="E703" s="13"/>
      <c r="F703" s="13"/>
      <c r="G703" s="13"/>
      <c r="H703" s="15"/>
      <c r="I703" s="15"/>
      <c r="J703" s="16"/>
      <c r="K703" s="13"/>
      <c r="L703" s="13"/>
      <c r="M703" s="13"/>
    </row>
    <row r="704" spans="1:13" ht="14.25" customHeight="1" x14ac:dyDescent="0.3">
      <c r="A704" s="13"/>
      <c r="B704" s="14"/>
      <c r="C704" s="14"/>
      <c r="D704" s="14"/>
      <c r="E704" s="13"/>
      <c r="F704" s="13"/>
      <c r="G704" s="13"/>
      <c r="H704" s="15"/>
      <c r="I704" s="15"/>
      <c r="J704" s="16"/>
      <c r="K704" s="13"/>
      <c r="L704" s="13"/>
      <c r="M704" s="13"/>
    </row>
    <row r="705" spans="1:13" ht="14.25" customHeight="1" x14ac:dyDescent="0.3">
      <c r="A705" s="13"/>
      <c r="B705" s="14"/>
      <c r="C705" s="14"/>
      <c r="D705" s="14"/>
      <c r="E705" s="13"/>
      <c r="F705" s="13"/>
      <c r="G705" s="13"/>
      <c r="H705" s="15"/>
      <c r="I705" s="15"/>
      <c r="J705" s="16"/>
      <c r="K705" s="13"/>
      <c r="L705" s="13"/>
      <c r="M705" s="13"/>
    </row>
    <row r="706" spans="1:13" ht="14.25" customHeight="1" x14ac:dyDescent="0.3">
      <c r="A706" s="13"/>
      <c r="B706" s="14"/>
      <c r="C706" s="14"/>
      <c r="D706" s="14"/>
      <c r="E706" s="13"/>
      <c r="F706" s="13"/>
      <c r="G706" s="13"/>
      <c r="H706" s="15"/>
      <c r="I706" s="15"/>
      <c r="J706" s="16"/>
      <c r="K706" s="13"/>
      <c r="L706" s="13"/>
      <c r="M706" s="13"/>
    </row>
    <row r="707" spans="1:13" ht="14.25" customHeight="1" x14ac:dyDescent="0.3">
      <c r="A707" s="13"/>
      <c r="B707" s="14"/>
      <c r="C707" s="14"/>
      <c r="D707" s="14"/>
      <c r="E707" s="13"/>
      <c r="F707" s="13"/>
      <c r="G707" s="13"/>
      <c r="H707" s="15"/>
      <c r="I707" s="15"/>
      <c r="J707" s="16"/>
      <c r="K707" s="13"/>
      <c r="L707" s="13"/>
      <c r="M707" s="13"/>
    </row>
    <row r="708" spans="1:13" ht="14.25" customHeight="1" x14ac:dyDescent="0.3">
      <c r="A708" s="13"/>
      <c r="B708" s="14"/>
      <c r="C708" s="14"/>
      <c r="D708" s="14"/>
      <c r="E708" s="13"/>
      <c r="F708" s="13"/>
      <c r="G708" s="13"/>
      <c r="H708" s="15"/>
      <c r="I708" s="15"/>
      <c r="J708" s="16"/>
      <c r="K708" s="13"/>
      <c r="L708" s="13"/>
      <c r="M708" s="13"/>
    </row>
    <row r="709" spans="1:13" ht="14.25" customHeight="1" x14ac:dyDescent="0.3">
      <c r="A709" s="13"/>
      <c r="B709" s="14"/>
      <c r="C709" s="14"/>
      <c r="D709" s="14"/>
      <c r="E709" s="13"/>
      <c r="F709" s="13"/>
      <c r="G709" s="13"/>
      <c r="H709" s="15"/>
      <c r="I709" s="15"/>
      <c r="J709" s="16"/>
      <c r="K709" s="13"/>
      <c r="L709" s="13"/>
      <c r="M709" s="13"/>
    </row>
    <row r="710" spans="1:13" ht="14.25" customHeight="1" x14ac:dyDescent="0.3">
      <c r="A710" s="13"/>
      <c r="B710" s="14"/>
      <c r="C710" s="14"/>
      <c r="D710" s="14"/>
      <c r="E710" s="13"/>
      <c r="F710" s="13"/>
      <c r="G710" s="13"/>
      <c r="H710" s="15"/>
      <c r="I710" s="15"/>
      <c r="J710" s="16"/>
      <c r="K710" s="13"/>
      <c r="L710" s="13"/>
      <c r="M710" s="13"/>
    </row>
    <row r="711" spans="1:13" ht="14.25" customHeight="1" x14ac:dyDescent="0.3">
      <c r="A711" s="13"/>
      <c r="B711" s="14"/>
      <c r="C711" s="14"/>
      <c r="D711" s="14"/>
      <c r="E711" s="13"/>
      <c r="F711" s="13"/>
      <c r="G711" s="13"/>
      <c r="H711" s="15"/>
      <c r="I711" s="15"/>
      <c r="J711" s="16"/>
      <c r="K711" s="13"/>
      <c r="L711" s="13"/>
      <c r="M711" s="13"/>
    </row>
    <row r="712" spans="1:13" ht="14.25" customHeight="1" x14ac:dyDescent="0.3">
      <c r="A712" s="13"/>
      <c r="B712" s="14"/>
      <c r="C712" s="14"/>
      <c r="D712" s="14"/>
      <c r="E712" s="13"/>
      <c r="F712" s="13"/>
      <c r="G712" s="13"/>
      <c r="H712" s="15"/>
      <c r="I712" s="15"/>
      <c r="J712" s="16"/>
      <c r="K712" s="13"/>
      <c r="L712" s="13"/>
      <c r="M712" s="13"/>
    </row>
    <row r="713" spans="1:13" ht="14.25" customHeight="1" x14ac:dyDescent="0.3">
      <c r="A713" s="13"/>
      <c r="B713" s="14"/>
      <c r="C713" s="14"/>
      <c r="D713" s="14"/>
      <c r="E713" s="13"/>
      <c r="F713" s="13"/>
      <c r="G713" s="13"/>
      <c r="H713" s="15"/>
      <c r="I713" s="15"/>
      <c r="J713" s="16"/>
      <c r="K713" s="13"/>
      <c r="L713" s="13"/>
      <c r="M713" s="13"/>
    </row>
    <row r="714" spans="1:13" ht="14.25" customHeight="1" x14ac:dyDescent="0.3">
      <c r="A714" s="13"/>
      <c r="B714" s="14"/>
      <c r="C714" s="14"/>
      <c r="D714" s="14"/>
      <c r="E714" s="13"/>
      <c r="F714" s="13"/>
      <c r="G714" s="13"/>
      <c r="H714" s="15"/>
      <c r="I714" s="15"/>
      <c r="J714" s="16"/>
      <c r="K714" s="13"/>
      <c r="L714" s="13"/>
      <c r="M714" s="13"/>
    </row>
    <row r="715" spans="1:13" ht="14.25" customHeight="1" x14ac:dyDescent="0.3">
      <c r="A715" s="13"/>
      <c r="B715" s="14"/>
      <c r="C715" s="14"/>
      <c r="D715" s="14"/>
      <c r="E715" s="13"/>
      <c r="F715" s="13"/>
      <c r="G715" s="13"/>
      <c r="H715" s="15"/>
      <c r="I715" s="15"/>
      <c r="J715" s="16"/>
      <c r="K715" s="13"/>
      <c r="L715" s="13"/>
      <c r="M715" s="13"/>
    </row>
    <row r="716" spans="1:13" ht="14.25" customHeight="1" x14ac:dyDescent="0.3">
      <c r="A716" s="13"/>
      <c r="B716" s="14"/>
      <c r="C716" s="14"/>
      <c r="D716" s="14"/>
      <c r="E716" s="13"/>
      <c r="F716" s="13"/>
      <c r="G716" s="13"/>
      <c r="H716" s="15"/>
      <c r="I716" s="15"/>
      <c r="J716" s="16"/>
      <c r="K716" s="13"/>
      <c r="L716" s="13"/>
      <c r="M716" s="13"/>
    </row>
    <row r="717" spans="1:13" ht="14.25" customHeight="1" x14ac:dyDescent="0.3">
      <c r="A717" s="13"/>
      <c r="B717" s="14"/>
      <c r="C717" s="14"/>
      <c r="D717" s="14"/>
      <c r="E717" s="13"/>
      <c r="F717" s="13"/>
      <c r="G717" s="13"/>
      <c r="H717" s="15"/>
      <c r="I717" s="15"/>
      <c r="J717" s="16"/>
      <c r="K717" s="13"/>
      <c r="L717" s="13"/>
      <c r="M717" s="13"/>
    </row>
    <row r="718" spans="1:13" ht="14.25" customHeight="1" x14ac:dyDescent="0.3">
      <c r="A718" s="13"/>
      <c r="B718" s="14"/>
      <c r="C718" s="14"/>
      <c r="D718" s="14"/>
      <c r="E718" s="13"/>
      <c r="F718" s="13"/>
      <c r="G718" s="13"/>
      <c r="H718" s="15"/>
      <c r="I718" s="15"/>
      <c r="J718" s="16"/>
      <c r="K718" s="13"/>
      <c r="L718" s="13"/>
      <c r="M718" s="13"/>
    </row>
    <row r="719" spans="1:13" ht="14.25" customHeight="1" x14ac:dyDescent="0.3">
      <c r="A719" s="13"/>
      <c r="B719" s="14"/>
      <c r="C719" s="14"/>
      <c r="D719" s="14"/>
      <c r="E719" s="13"/>
      <c r="F719" s="13"/>
      <c r="G719" s="13"/>
      <c r="H719" s="15"/>
      <c r="I719" s="15"/>
      <c r="J719" s="16"/>
      <c r="K719" s="13"/>
      <c r="L719" s="13"/>
      <c r="M719" s="13"/>
    </row>
    <row r="720" spans="1:13" ht="14.25" customHeight="1" x14ac:dyDescent="0.3">
      <c r="A720" s="13"/>
      <c r="B720" s="14"/>
      <c r="C720" s="14"/>
      <c r="D720" s="14"/>
      <c r="E720" s="13"/>
      <c r="F720" s="13"/>
      <c r="G720" s="13"/>
      <c r="H720" s="15"/>
      <c r="I720" s="15"/>
      <c r="J720" s="16"/>
      <c r="K720" s="13"/>
      <c r="L720" s="13"/>
      <c r="M720" s="13"/>
    </row>
    <row r="721" spans="1:13" ht="14.25" customHeight="1" x14ac:dyDescent="0.3">
      <c r="A721" s="13"/>
      <c r="B721" s="14"/>
      <c r="C721" s="14"/>
      <c r="D721" s="14"/>
      <c r="E721" s="13"/>
      <c r="F721" s="13"/>
      <c r="G721" s="13"/>
      <c r="H721" s="15"/>
      <c r="I721" s="15"/>
      <c r="J721" s="16"/>
      <c r="K721" s="13"/>
      <c r="L721" s="13"/>
      <c r="M721" s="13"/>
    </row>
    <row r="722" spans="1:13" ht="14.25" customHeight="1" x14ac:dyDescent="0.3">
      <c r="A722" s="13"/>
      <c r="B722" s="14"/>
      <c r="C722" s="14"/>
      <c r="D722" s="14"/>
      <c r="E722" s="13"/>
      <c r="F722" s="13"/>
      <c r="G722" s="13"/>
      <c r="H722" s="15"/>
      <c r="I722" s="15"/>
      <c r="J722" s="16"/>
      <c r="K722" s="13"/>
      <c r="L722" s="13"/>
      <c r="M722" s="13"/>
    </row>
    <row r="723" spans="1:13" ht="14.25" customHeight="1" x14ac:dyDescent="0.3">
      <c r="A723" s="13"/>
      <c r="B723" s="14"/>
      <c r="C723" s="14"/>
      <c r="D723" s="14"/>
      <c r="E723" s="13"/>
      <c r="F723" s="13"/>
      <c r="G723" s="13"/>
      <c r="H723" s="15"/>
      <c r="I723" s="15"/>
      <c r="J723" s="16"/>
      <c r="K723" s="13"/>
      <c r="L723" s="13"/>
      <c r="M723" s="13"/>
    </row>
    <row r="724" spans="1:13" ht="14.25" customHeight="1" x14ac:dyDescent="0.3">
      <c r="A724" s="13"/>
      <c r="B724" s="14"/>
      <c r="C724" s="14"/>
      <c r="D724" s="14"/>
      <c r="E724" s="13"/>
      <c r="F724" s="13"/>
      <c r="G724" s="13"/>
      <c r="H724" s="15"/>
      <c r="I724" s="15"/>
      <c r="J724" s="16"/>
      <c r="K724" s="13"/>
      <c r="L724" s="13"/>
      <c r="M724" s="13"/>
    </row>
    <row r="725" spans="1:13" ht="14.25" customHeight="1" x14ac:dyDescent="0.3">
      <c r="A725" s="13"/>
      <c r="B725" s="14"/>
      <c r="C725" s="14"/>
      <c r="D725" s="14"/>
      <c r="E725" s="13"/>
      <c r="F725" s="13"/>
      <c r="G725" s="13"/>
      <c r="H725" s="15"/>
      <c r="I725" s="15"/>
      <c r="J725" s="16"/>
      <c r="K725" s="13"/>
      <c r="L725" s="13"/>
      <c r="M725" s="13"/>
    </row>
    <row r="726" spans="1:13" ht="14.25" customHeight="1" x14ac:dyDescent="0.3">
      <c r="A726" s="13"/>
      <c r="B726" s="14"/>
      <c r="C726" s="14"/>
      <c r="D726" s="14"/>
      <c r="E726" s="13"/>
      <c r="F726" s="13"/>
      <c r="G726" s="13"/>
      <c r="H726" s="15"/>
      <c r="I726" s="15"/>
      <c r="J726" s="16"/>
      <c r="K726" s="13"/>
      <c r="L726" s="13"/>
      <c r="M726" s="13"/>
    </row>
    <row r="727" spans="1:13" ht="14.25" customHeight="1" x14ac:dyDescent="0.3">
      <c r="A727" s="13"/>
      <c r="B727" s="14"/>
      <c r="C727" s="14"/>
      <c r="D727" s="14"/>
      <c r="E727" s="13"/>
      <c r="F727" s="13"/>
      <c r="G727" s="13"/>
      <c r="H727" s="15"/>
      <c r="I727" s="15"/>
      <c r="J727" s="16"/>
      <c r="K727" s="13"/>
      <c r="L727" s="13"/>
      <c r="M727" s="13"/>
    </row>
    <row r="728" spans="1:13" ht="14.25" customHeight="1" x14ac:dyDescent="0.3">
      <c r="A728" s="13"/>
      <c r="B728" s="14"/>
      <c r="C728" s="14"/>
      <c r="D728" s="14"/>
      <c r="E728" s="13"/>
      <c r="F728" s="13"/>
      <c r="G728" s="13"/>
      <c r="H728" s="15"/>
      <c r="I728" s="15"/>
      <c r="J728" s="16"/>
      <c r="K728" s="13"/>
      <c r="L728" s="13"/>
      <c r="M728" s="13"/>
    </row>
    <row r="729" spans="1:13" ht="14.25" customHeight="1" x14ac:dyDescent="0.3">
      <c r="A729" s="13"/>
      <c r="B729" s="14"/>
      <c r="C729" s="14"/>
      <c r="D729" s="14"/>
      <c r="E729" s="13"/>
      <c r="F729" s="13"/>
      <c r="G729" s="13"/>
      <c r="H729" s="15"/>
      <c r="I729" s="15"/>
      <c r="J729" s="16"/>
      <c r="K729" s="13"/>
      <c r="L729" s="13"/>
      <c r="M729" s="13"/>
    </row>
    <row r="730" spans="1:13" ht="14.25" customHeight="1" x14ac:dyDescent="0.3">
      <c r="A730" s="13"/>
      <c r="B730" s="14"/>
      <c r="C730" s="14"/>
      <c r="D730" s="14"/>
      <c r="E730" s="13"/>
      <c r="F730" s="13"/>
      <c r="G730" s="13"/>
      <c r="H730" s="15"/>
      <c r="I730" s="15"/>
      <c r="J730" s="16"/>
      <c r="K730" s="13"/>
      <c r="L730" s="13"/>
      <c r="M730" s="13"/>
    </row>
    <row r="731" spans="1:13" ht="14.25" customHeight="1" x14ac:dyDescent="0.3">
      <c r="A731" s="13"/>
      <c r="B731" s="14"/>
      <c r="C731" s="14"/>
      <c r="D731" s="14"/>
      <c r="E731" s="13"/>
      <c r="F731" s="13"/>
      <c r="G731" s="13"/>
      <c r="H731" s="15"/>
      <c r="I731" s="15"/>
      <c r="J731" s="16"/>
      <c r="K731" s="13"/>
      <c r="L731" s="13"/>
      <c r="M731" s="13"/>
    </row>
    <row r="732" spans="1:13" ht="14.25" customHeight="1" x14ac:dyDescent="0.3">
      <c r="A732" s="13"/>
      <c r="B732" s="14"/>
      <c r="C732" s="14"/>
      <c r="D732" s="14"/>
      <c r="E732" s="13"/>
      <c r="F732" s="13"/>
      <c r="G732" s="13"/>
      <c r="H732" s="15"/>
      <c r="I732" s="15"/>
      <c r="J732" s="16"/>
      <c r="K732" s="13"/>
      <c r="L732" s="13"/>
      <c r="M732" s="13"/>
    </row>
    <row r="733" spans="1:13" ht="14.25" customHeight="1" x14ac:dyDescent="0.3">
      <c r="A733" s="13"/>
      <c r="B733" s="14"/>
      <c r="C733" s="14"/>
      <c r="D733" s="14"/>
      <c r="E733" s="13"/>
      <c r="F733" s="13"/>
      <c r="G733" s="13"/>
      <c r="H733" s="15"/>
      <c r="I733" s="15"/>
      <c r="J733" s="16"/>
      <c r="K733" s="13"/>
      <c r="L733" s="13"/>
      <c r="M733" s="13"/>
    </row>
    <row r="734" spans="1:13" ht="14.25" customHeight="1" x14ac:dyDescent="0.3">
      <c r="A734" s="13"/>
      <c r="B734" s="14"/>
      <c r="C734" s="14"/>
      <c r="D734" s="14"/>
      <c r="E734" s="13"/>
      <c r="F734" s="13"/>
      <c r="G734" s="13"/>
      <c r="H734" s="15"/>
      <c r="I734" s="15"/>
      <c r="J734" s="16"/>
      <c r="K734" s="13"/>
      <c r="L734" s="13"/>
      <c r="M734" s="13"/>
    </row>
    <row r="735" spans="1:13" ht="14.25" customHeight="1" x14ac:dyDescent="0.3">
      <c r="A735" s="13"/>
      <c r="B735" s="14"/>
      <c r="C735" s="14"/>
      <c r="D735" s="14"/>
      <c r="E735" s="13"/>
      <c r="F735" s="13"/>
      <c r="G735" s="13"/>
      <c r="H735" s="15"/>
      <c r="I735" s="15"/>
      <c r="J735" s="16"/>
      <c r="K735" s="13"/>
      <c r="L735" s="13"/>
      <c r="M735" s="13"/>
    </row>
    <row r="736" spans="1:13" ht="14.25" customHeight="1" x14ac:dyDescent="0.3">
      <c r="A736" s="13"/>
      <c r="B736" s="14"/>
      <c r="C736" s="14"/>
      <c r="D736" s="14"/>
      <c r="E736" s="13"/>
      <c r="F736" s="13"/>
      <c r="G736" s="13"/>
      <c r="H736" s="15"/>
      <c r="I736" s="15"/>
      <c r="J736" s="16"/>
      <c r="K736" s="13"/>
      <c r="L736" s="13"/>
      <c r="M736" s="13"/>
    </row>
    <row r="737" spans="1:13" ht="14.25" customHeight="1" x14ac:dyDescent="0.3">
      <c r="A737" s="13"/>
      <c r="B737" s="14"/>
      <c r="C737" s="14"/>
      <c r="D737" s="14"/>
      <c r="E737" s="13"/>
      <c r="F737" s="13"/>
      <c r="G737" s="13"/>
      <c r="H737" s="15"/>
      <c r="I737" s="15"/>
      <c r="J737" s="16"/>
      <c r="K737" s="13"/>
      <c r="L737" s="13"/>
      <c r="M737" s="13"/>
    </row>
    <row r="738" spans="1:13" ht="14.25" customHeight="1" x14ac:dyDescent="0.3">
      <c r="A738" s="13"/>
      <c r="B738" s="14"/>
      <c r="C738" s="14"/>
      <c r="D738" s="14"/>
      <c r="E738" s="13"/>
      <c r="F738" s="13"/>
      <c r="G738" s="13"/>
      <c r="H738" s="15"/>
      <c r="I738" s="15"/>
      <c r="J738" s="16"/>
      <c r="K738" s="13"/>
      <c r="L738" s="13"/>
      <c r="M738" s="13"/>
    </row>
    <row r="739" spans="1:13" ht="14.25" customHeight="1" x14ac:dyDescent="0.3">
      <c r="A739" s="13"/>
      <c r="B739" s="14"/>
      <c r="C739" s="14"/>
      <c r="D739" s="14"/>
      <c r="E739" s="13"/>
      <c r="F739" s="13"/>
      <c r="G739" s="13"/>
      <c r="H739" s="15"/>
      <c r="I739" s="15"/>
      <c r="J739" s="16"/>
      <c r="K739" s="13"/>
      <c r="L739" s="13"/>
      <c r="M739" s="13"/>
    </row>
    <row r="740" spans="1:13" ht="14.25" customHeight="1" x14ac:dyDescent="0.3">
      <c r="A740" s="13"/>
      <c r="B740" s="14"/>
      <c r="C740" s="14"/>
      <c r="D740" s="14"/>
      <c r="E740" s="13"/>
      <c r="F740" s="13"/>
      <c r="G740" s="13"/>
      <c r="H740" s="15"/>
      <c r="I740" s="15"/>
      <c r="J740" s="16"/>
      <c r="K740" s="13"/>
      <c r="L740" s="13"/>
      <c r="M740" s="13"/>
    </row>
    <row r="741" spans="1:13" ht="14.25" customHeight="1" x14ac:dyDescent="0.3">
      <c r="A741" s="13"/>
      <c r="B741" s="14"/>
      <c r="C741" s="14"/>
      <c r="D741" s="14"/>
      <c r="E741" s="13"/>
      <c r="F741" s="13"/>
      <c r="G741" s="13"/>
      <c r="H741" s="15"/>
      <c r="I741" s="15"/>
      <c r="J741" s="16"/>
      <c r="K741" s="13"/>
      <c r="L741" s="13"/>
      <c r="M741" s="13"/>
    </row>
    <row r="742" spans="1:13" ht="14.25" customHeight="1" x14ac:dyDescent="0.3">
      <c r="A742" s="13"/>
      <c r="B742" s="14"/>
      <c r="C742" s="14"/>
      <c r="D742" s="14"/>
      <c r="E742" s="13"/>
      <c r="F742" s="13"/>
      <c r="G742" s="13"/>
      <c r="H742" s="15"/>
      <c r="I742" s="15"/>
      <c r="J742" s="16"/>
      <c r="K742" s="13"/>
      <c r="L742" s="13"/>
      <c r="M742" s="13"/>
    </row>
    <row r="743" spans="1:13" ht="14.25" customHeight="1" x14ac:dyDescent="0.3">
      <c r="A743" s="13"/>
      <c r="B743" s="14"/>
      <c r="C743" s="14"/>
      <c r="D743" s="14"/>
      <c r="E743" s="13"/>
      <c r="F743" s="13"/>
      <c r="G743" s="13"/>
      <c r="H743" s="15"/>
      <c r="I743" s="15"/>
      <c r="J743" s="16"/>
      <c r="K743" s="13"/>
      <c r="L743" s="13"/>
      <c r="M743" s="13"/>
    </row>
    <row r="744" spans="1:13" ht="14.25" customHeight="1" x14ac:dyDescent="0.3">
      <c r="A744" s="13"/>
      <c r="B744" s="14"/>
      <c r="C744" s="14"/>
      <c r="D744" s="14"/>
      <c r="E744" s="13"/>
      <c r="F744" s="13"/>
      <c r="G744" s="13"/>
      <c r="H744" s="15"/>
      <c r="I744" s="15"/>
      <c r="J744" s="16"/>
      <c r="K744" s="13"/>
      <c r="L744" s="13"/>
      <c r="M744" s="13"/>
    </row>
    <row r="745" spans="1:13" ht="14.25" customHeight="1" x14ac:dyDescent="0.3">
      <c r="A745" s="13"/>
      <c r="B745" s="14"/>
      <c r="C745" s="14"/>
      <c r="D745" s="14"/>
      <c r="E745" s="13"/>
      <c r="F745" s="13"/>
      <c r="G745" s="13"/>
      <c r="H745" s="15"/>
      <c r="I745" s="15"/>
      <c r="J745" s="16"/>
      <c r="K745" s="13"/>
      <c r="L745" s="13"/>
      <c r="M745" s="13"/>
    </row>
    <row r="746" spans="1:13" ht="14.25" customHeight="1" x14ac:dyDescent="0.3">
      <c r="A746" s="13"/>
      <c r="B746" s="14"/>
      <c r="C746" s="14"/>
      <c r="D746" s="14"/>
      <c r="E746" s="13"/>
      <c r="F746" s="13"/>
      <c r="G746" s="13"/>
      <c r="H746" s="15"/>
      <c r="I746" s="15"/>
      <c r="J746" s="16"/>
      <c r="K746" s="13"/>
      <c r="L746" s="13"/>
      <c r="M746" s="13"/>
    </row>
    <row r="747" spans="1:13" ht="14.25" customHeight="1" x14ac:dyDescent="0.3">
      <c r="A747" s="13"/>
      <c r="B747" s="14"/>
      <c r="C747" s="14"/>
      <c r="D747" s="14"/>
      <c r="E747" s="13"/>
      <c r="F747" s="13"/>
      <c r="G747" s="13"/>
      <c r="H747" s="15"/>
      <c r="I747" s="15"/>
      <c r="J747" s="16"/>
      <c r="K747" s="13"/>
      <c r="L747" s="13"/>
      <c r="M747" s="13"/>
    </row>
    <row r="748" spans="1:13" ht="14.25" customHeight="1" x14ac:dyDescent="0.3">
      <c r="A748" s="13"/>
      <c r="B748" s="14"/>
      <c r="C748" s="14"/>
      <c r="D748" s="14"/>
      <c r="E748" s="13"/>
      <c r="F748" s="13"/>
      <c r="G748" s="13"/>
      <c r="H748" s="15"/>
      <c r="I748" s="15"/>
      <c r="J748" s="16"/>
      <c r="K748" s="13"/>
      <c r="L748" s="13"/>
      <c r="M748" s="13"/>
    </row>
    <row r="749" spans="1:13" ht="14.25" customHeight="1" x14ac:dyDescent="0.3">
      <c r="A749" s="13"/>
      <c r="B749" s="14"/>
      <c r="C749" s="14"/>
      <c r="D749" s="14"/>
      <c r="E749" s="13"/>
      <c r="F749" s="13"/>
      <c r="G749" s="13"/>
      <c r="H749" s="15"/>
      <c r="I749" s="15"/>
      <c r="J749" s="16"/>
      <c r="K749" s="13"/>
      <c r="L749" s="13"/>
      <c r="M749" s="13"/>
    </row>
    <row r="750" spans="1:13" ht="14.25" customHeight="1" x14ac:dyDescent="0.3">
      <c r="A750" s="13"/>
      <c r="B750" s="14"/>
      <c r="C750" s="14"/>
      <c r="D750" s="14"/>
      <c r="E750" s="13"/>
      <c r="F750" s="13"/>
      <c r="G750" s="13"/>
      <c r="H750" s="15"/>
      <c r="I750" s="15"/>
      <c r="J750" s="16"/>
      <c r="K750" s="13"/>
      <c r="L750" s="13"/>
      <c r="M750" s="13"/>
    </row>
    <row r="751" spans="1:13" ht="14.25" customHeight="1" x14ac:dyDescent="0.3">
      <c r="A751" s="13"/>
      <c r="B751" s="14"/>
      <c r="C751" s="14"/>
      <c r="D751" s="14"/>
      <c r="E751" s="13"/>
      <c r="F751" s="13"/>
      <c r="G751" s="13"/>
      <c r="H751" s="15"/>
      <c r="I751" s="15"/>
      <c r="J751" s="16"/>
      <c r="K751" s="13"/>
      <c r="L751" s="13"/>
      <c r="M751" s="13"/>
    </row>
    <row r="752" spans="1:13" ht="14.25" customHeight="1" x14ac:dyDescent="0.3">
      <c r="A752" s="13"/>
      <c r="B752" s="14"/>
      <c r="C752" s="14"/>
      <c r="D752" s="14"/>
      <c r="E752" s="13"/>
      <c r="F752" s="13"/>
      <c r="G752" s="13"/>
      <c r="H752" s="15"/>
      <c r="I752" s="15"/>
      <c r="J752" s="16"/>
      <c r="K752" s="13"/>
      <c r="L752" s="13"/>
      <c r="M752" s="13"/>
    </row>
    <row r="753" spans="1:13" ht="14.25" customHeight="1" x14ac:dyDescent="0.3">
      <c r="A753" s="13"/>
      <c r="B753" s="14"/>
      <c r="C753" s="14"/>
      <c r="D753" s="14"/>
      <c r="E753" s="13"/>
      <c r="F753" s="13"/>
      <c r="G753" s="13"/>
      <c r="H753" s="15"/>
      <c r="I753" s="15"/>
      <c r="J753" s="16"/>
      <c r="K753" s="13"/>
      <c r="L753" s="13"/>
      <c r="M753" s="13"/>
    </row>
    <row r="754" spans="1:13" ht="14.25" customHeight="1" x14ac:dyDescent="0.3">
      <c r="A754" s="13"/>
      <c r="B754" s="14"/>
      <c r="C754" s="14"/>
      <c r="D754" s="14"/>
      <c r="E754" s="13"/>
      <c r="F754" s="13"/>
      <c r="G754" s="13"/>
      <c r="H754" s="15"/>
      <c r="I754" s="15"/>
      <c r="J754" s="16"/>
      <c r="K754" s="13"/>
      <c r="L754" s="13"/>
      <c r="M754" s="13"/>
    </row>
    <row r="755" spans="1:13" ht="14.25" customHeight="1" x14ac:dyDescent="0.3">
      <c r="A755" s="13"/>
      <c r="B755" s="14"/>
      <c r="C755" s="14"/>
      <c r="D755" s="14"/>
      <c r="E755" s="13"/>
      <c r="F755" s="13"/>
      <c r="G755" s="13"/>
      <c r="H755" s="15"/>
      <c r="I755" s="15"/>
      <c r="J755" s="16"/>
      <c r="K755" s="13"/>
      <c r="L755" s="13"/>
      <c r="M755" s="13"/>
    </row>
    <row r="756" spans="1:13" ht="14.25" customHeight="1" x14ac:dyDescent="0.3">
      <c r="A756" s="13"/>
      <c r="B756" s="14"/>
      <c r="C756" s="14"/>
      <c r="D756" s="14"/>
      <c r="E756" s="13"/>
      <c r="F756" s="13"/>
      <c r="G756" s="13"/>
      <c r="H756" s="15"/>
      <c r="I756" s="15"/>
      <c r="J756" s="16"/>
      <c r="K756" s="13"/>
      <c r="L756" s="13"/>
      <c r="M756" s="13"/>
    </row>
    <row r="757" spans="1:13" ht="14.25" customHeight="1" x14ac:dyDescent="0.3">
      <c r="A757" s="13"/>
      <c r="B757" s="14"/>
      <c r="C757" s="14"/>
      <c r="D757" s="14"/>
      <c r="E757" s="13"/>
      <c r="F757" s="13"/>
      <c r="G757" s="13"/>
      <c r="H757" s="15"/>
      <c r="I757" s="15"/>
      <c r="J757" s="16"/>
      <c r="K757" s="13"/>
      <c r="L757" s="13"/>
      <c r="M757" s="13"/>
    </row>
    <row r="758" spans="1:13" ht="14.25" customHeight="1" x14ac:dyDescent="0.3">
      <c r="A758" s="13"/>
      <c r="B758" s="14"/>
      <c r="C758" s="14"/>
      <c r="D758" s="14"/>
      <c r="E758" s="13"/>
      <c r="F758" s="13"/>
      <c r="G758" s="13"/>
      <c r="H758" s="15"/>
      <c r="I758" s="15"/>
      <c r="J758" s="16"/>
      <c r="K758" s="13"/>
      <c r="L758" s="13"/>
      <c r="M758" s="13"/>
    </row>
    <row r="759" spans="1:13" ht="14.25" customHeight="1" x14ac:dyDescent="0.3">
      <c r="A759" s="13"/>
      <c r="B759" s="14"/>
      <c r="C759" s="14"/>
      <c r="D759" s="14"/>
      <c r="E759" s="13"/>
      <c r="F759" s="13"/>
      <c r="G759" s="13"/>
      <c r="H759" s="15"/>
      <c r="I759" s="15"/>
      <c r="J759" s="16"/>
      <c r="K759" s="13"/>
      <c r="L759" s="13"/>
      <c r="M759" s="13"/>
    </row>
    <row r="760" spans="1:13" ht="14.25" customHeight="1" x14ac:dyDescent="0.3">
      <c r="A760" s="13"/>
      <c r="B760" s="14"/>
      <c r="C760" s="14"/>
      <c r="D760" s="14"/>
      <c r="E760" s="13"/>
      <c r="F760" s="13"/>
      <c r="G760" s="13"/>
      <c r="H760" s="15"/>
      <c r="I760" s="15"/>
      <c r="J760" s="16"/>
      <c r="K760" s="13"/>
      <c r="L760" s="13"/>
      <c r="M760" s="13"/>
    </row>
    <row r="761" spans="1:13" ht="14.25" customHeight="1" x14ac:dyDescent="0.3">
      <c r="A761" s="13"/>
      <c r="B761" s="14"/>
      <c r="C761" s="14"/>
      <c r="D761" s="14"/>
      <c r="E761" s="13"/>
      <c r="F761" s="13"/>
      <c r="G761" s="13"/>
      <c r="H761" s="15"/>
      <c r="I761" s="15"/>
      <c r="J761" s="16"/>
      <c r="K761" s="13"/>
      <c r="L761" s="13"/>
      <c r="M761" s="13"/>
    </row>
    <row r="762" spans="1:13" ht="14.25" customHeight="1" x14ac:dyDescent="0.3">
      <c r="A762" s="13"/>
      <c r="B762" s="14"/>
      <c r="C762" s="14"/>
      <c r="D762" s="14"/>
      <c r="E762" s="13"/>
      <c r="F762" s="13"/>
      <c r="G762" s="13"/>
      <c r="H762" s="15"/>
      <c r="I762" s="15"/>
      <c r="J762" s="16"/>
      <c r="K762" s="13"/>
      <c r="L762" s="13"/>
      <c r="M762" s="13"/>
    </row>
    <row r="763" spans="1:13" ht="14.25" customHeight="1" x14ac:dyDescent="0.3">
      <c r="A763" s="13"/>
      <c r="B763" s="14"/>
      <c r="C763" s="14"/>
      <c r="D763" s="14"/>
      <c r="E763" s="13"/>
      <c r="F763" s="13"/>
      <c r="G763" s="13"/>
      <c r="H763" s="15"/>
      <c r="I763" s="15"/>
      <c r="J763" s="16"/>
      <c r="K763" s="13"/>
      <c r="L763" s="13"/>
      <c r="M763" s="13"/>
    </row>
    <row r="764" spans="1:13" ht="14.25" customHeight="1" x14ac:dyDescent="0.3">
      <c r="A764" s="13"/>
      <c r="B764" s="14"/>
      <c r="C764" s="14"/>
      <c r="D764" s="14"/>
      <c r="E764" s="13"/>
      <c r="F764" s="13"/>
      <c r="G764" s="13"/>
      <c r="H764" s="15"/>
      <c r="I764" s="15"/>
      <c r="J764" s="16"/>
      <c r="K764" s="13"/>
      <c r="L764" s="13"/>
      <c r="M764" s="13"/>
    </row>
    <row r="765" spans="1:13" ht="14.25" customHeight="1" x14ac:dyDescent="0.3">
      <c r="A765" s="13"/>
      <c r="B765" s="14"/>
      <c r="C765" s="14"/>
      <c r="D765" s="14"/>
      <c r="E765" s="13"/>
      <c r="F765" s="13"/>
      <c r="G765" s="13"/>
      <c r="H765" s="15"/>
      <c r="I765" s="15"/>
      <c r="J765" s="16"/>
      <c r="K765" s="13"/>
      <c r="L765" s="13"/>
      <c r="M765" s="13"/>
    </row>
    <row r="766" spans="1:13" ht="14.25" customHeight="1" x14ac:dyDescent="0.3">
      <c r="A766" s="13"/>
      <c r="B766" s="14"/>
      <c r="C766" s="14"/>
      <c r="D766" s="14"/>
      <c r="E766" s="13"/>
      <c r="F766" s="13"/>
      <c r="G766" s="13"/>
      <c r="H766" s="15"/>
      <c r="I766" s="15"/>
      <c r="J766" s="16"/>
      <c r="K766" s="13"/>
      <c r="L766" s="13"/>
      <c r="M766" s="13"/>
    </row>
    <row r="767" spans="1:13" ht="14.25" customHeight="1" x14ac:dyDescent="0.3">
      <c r="A767" s="13"/>
      <c r="B767" s="14"/>
      <c r="C767" s="14"/>
      <c r="D767" s="14"/>
      <c r="E767" s="13"/>
      <c r="F767" s="13"/>
      <c r="G767" s="13"/>
      <c r="H767" s="15"/>
      <c r="I767" s="15"/>
      <c r="J767" s="16"/>
      <c r="K767" s="13"/>
      <c r="L767" s="13"/>
      <c r="M767" s="13"/>
    </row>
    <row r="768" spans="1:13" ht="14.25" customHeight="1" x14ac:dyDescent="0.3">
      <c r="A768" s="13"/>
      <c r="B768" s="14"/>
      <c r="C768" s="14"/>
      <c r="D768" s="14"/>
      <c r="E768" s="13"/>
      <c r="F768" s="13"/>
      <c r="G768" s="13"/>
      <c r="H768" s="15"/>
      <c r="I768" s="15"/>
      <c r="J768" s="16"/>
      <c r="K768" s="13"/>
      <c r="L768" s="13"/>
      <c r="M768" s="13"/>
    </row>
    <row r="769" spans="1:13" ht="14.25" customHeight="1" x14ac:dyDescent="0.3">
      <c r="A769" s="13"/>
      <c r="B769" s="14"/>
      <c r="C769" s="14"/>
      <c r="D769" s="14"/>
      <c r="E769" s="13"/>
      <c r="F769" s="13"/>
      <c r="G769" s="13"/>
      <c r="H769" s="15"/>
      <c r="I769" s="15"/>
      <c r="J769" s="16"/>
      <c r="K769" s="13"/>
      <c r="L769" s="13"/>
      <c r="M769" s="13"/>
    </row>
    <row r="770" spans="1:13" ht="14.25" customHeight="1" x14ac:dyDescent="0.3">
      <c r="A770" s="13"/>
      <c r="B770" s="14"/>
      <c r="C770" s="14"/>
      <c r="D770" s="14"/>
      <c r="E770" s="13"/>
      <c r="F770" s="13"/>
      <c r="G770" s="13"/>
      <c r="H770" s="15"/>
      <c r="I770" s="15"/>
      <c r="J770" s="16"/>
      <c r="K770" s="13"/>
      <c r="L770" s="13"/>
      <c r="M770" s="13"/>
    </row>
    <row r="771" spans="1:13" ht="14.25" customHeight="1" x14ac:dyDescent="0.3">
      <c r="A771" s="13"/>
      <c r="B771" s="14"/>
      <c r="C771" s="14"/>
      <c r="D771" s="14"/>
      <c r="E771" s="13"/>
      <c r="F771" s="13"/>
      <c r="G771" s="13"/>
      <c r="H771" s="15"/>
      <c r="I771" s="15"/>
      <c r="J771" s="16"/>
      <c r="K771" s="13"/>
      <c r="L771" s="13"/>
      <c r="M771" s="13"/>
    </row>
    <row r="772" spans="1:13" ht="14.25" customHeight="1" x14ac:dyDescent="0.3">
      <c r="A772" s="13"/>
      <c r="B772" s="14"/>
      <c r="C772" s="14"/>
      <c r="D772" s="14"/>
      <c r="E772" s="13"/>
      <c r="F772" s="13"/>
      <c r="G772" s="13"/>
      <c r="H772" s="15"/>
      <c r="I772" s="15"/>
      <c r="J772" s="16"/>
      <c r="K772" s="13"/>
      <c r="L772" s="13"/>
      <c r="M772" s="13"/>
    </row>
    <row r="773" spans="1:13" ht="14.25" customHeight="1" x14ac:dyDescent="0.3">
      <c r="A773" s="13"/>
      <c r="B773" s="14"/>
      <c r="C773" s="14"/>
      <c r="D773" s="14"/>
      <c r="E773" s="13"/>
      <c r="F773" s="13"/>
      <c r="G773" s="13"/>
      <c r="H773" s="15"/>
      <c r="I773" s="15"/>
      <c r="J773" s="16"/>
      <c r="K773" s="13"/>
      <c r="L773" s="13"/>
      <c r="M773" s="13"/>
    </row>
    <row r="774" spans="1:13" ht="14.25" customHeight="1" x14ac:dyDescent="0.3">
      <c r="A774" s="13"/>
      <c r="B774" s="14"/>
      <c r="C774" s="14"/>
      <c r="D774" s="14"/>
      <c r="E774" s="13"/>
      <c r="F774" s="13"/>
      <c r="G774" s="13"/>
      <c r="H774" s="15"/>
      <c r="I774" s="15"/>
      <c r="J774" s="16"/>
      <c r="K774" s="13"/>
      <c r="L774" s="13"/>
      <c r="M774" s="13"/>
    </row>
    <row r="775" spans="1:13" ht="14.25" customHeight="1" x14ac:dyDescent="0.3">
      <c r="A775" s="13"/>
      <c r="B775" s="14"/>
      <c r="C775" s="14"/>
      <c r="D775" s="14"/>
      <c r="E775" s="13"/>
      <c r="F775" s="13"/>
      <c r="G775" s="13"/>
      <c r="H775" s="15"/>
      <c r="I775" s="15"/>
      <c r="J775" s="16"/>
      <c r="K775" s="13"/>
      <c r="L775" s="13"/>
      <c r="M775" s="13"/>
    </row>
    <row r="776" spans="1:13" ht="14.25" customHeight="1" x14ac:dyDescent="0.3">
      <c r="A776" s="13"/>
      <c r="B776" s="14"/>
      <c r="C776" s="14"/>
      <c r="D776" s="14"/>
      <c r="E776" s="13"/>
      <c r="F776" s="13"/>
      <c r="G776" s="13"/>
      <c r="H776" s="15"/>
      <c r="I776" s="15"/>
      <c r="J776" s="16"/>
      <c r="K776" s="13"/>
      <c r="L776" s="13"/>
      <c r="M776" s="13"/>
    </row>
    <row r="777" spans="1:13" ht="14.25" customHeight="1" x14ac:dyDescent="0.3">
      <c r="A777" s="13"/>
      <c r="B777" s="14"/>
      <c r="C777" s="14"/>
      <c r="D777" s="14"/>
      <c r="E777" s="13"/>
      <c r="F777" s="13"/>
      <c r="G777" s="13"/>
      <c r="H777" s="15"/>
      <c r="I777" s="15"/>
      <c r="J777" s="16"/>
      <c r="K777" s="13"/>
      <c r="L777" s="13"/>
      <c r="M777" s="13"/>
    </row>
    <row r="778" spans="1:13" ht="14.25" customHeight="1" x14ac:dyDescent="0.3">
      <c r="A778" s="13"/>
      <c r="B778" s="14"/>
      <c r="C778" s="14"/>
      <c r="D778" s="14"/>
      <c r="E778" s="13"/>
      <c r="F778" s="13"/>
      <c r="G778" s="13"/>
      <c r="H778" s="15"/>
      <c r="I778" s="15"/>
      <c r="J778" s="16"/>
      <c r="K778" s="13"/>
      <c r="L778" s="13"/>
      <c r="M778" s="13"/>
    </row>
    <row r="779" spans="1:13" ht="14.25" customHeight="1" x14ac:dyDescent="0.3">
      <c r="A779" s="13"/>
      <c r="B779" s="14"/>
      <c r="C779" s="14"/>
      <c r="D779" s="14"/>
      <c r="E779" s="13"/>
      <c r="F779" s="13"/>
      <c r="G779" s="13"/>
      <c r="H779" s="15"/>
      <c r="I779" s="15"/>
      <c r="J779" s="16"/>
      <c r="K779" s="13"/>
      <c r="L779" s="13"/>
      <c r="M779" s="13"/>
    </row>
    <row r="780" spans="1:13" ht="14.25" customHeight="1" x14ac:dyDescent="0.3">
      <c r="A780" s="13"/>
      <c r="B780" s="14"/>
      <c r="C780" s="14"/>
      <c r="D780" s="14"/>
      <c r="E780" s="13"/>
      <c r="F780" s="13"/>
      <c r="G780" s="13"/>
      <c r="H780" s="15"/>
      <c r="I780" s="15"/>
      <c r="J780" s="16"/>
      <c r="K780" s="13"/>
      <c r="L780" s="13"/>
      <c r="M780" s="13"/>
    </row>
    <row r="781" spans="1:13" ht="14.25" customHeight="1" x14ac:dyDescent="0.3">
      <c r="A781" s="13"/>
      <c r="B781" s="14"/>
      <c r="C781" s="14"/>
      <c r="D781" s="14"/>
      <c r="E781" s="13"/>
      <c r="F781" s="13"/>
      <c r="G781" s="13"/>
      <c r="H781" s="15"/>
      <c r="I781" s="15"/>
      <c r="J781" s="16"/>
      <c r="K781" s="13"/>
      <c r="L781" s="13"/>
      <c r="M781" s="13"/>
    </row>
    <row r="782" spans="1:13" ht="14.25" customHeight="1" x14ac:dyDescent="0.3">
      <c r="A782" s="13"/>
      <c r="B782" s="14"/>
      <c r="C782" s="14"/>
      <c r="D782" s="14"/>
      <c r="E782" s="13"/>
      <c r="F782" s="13"/>
      <c r="G782" s="13"/>
      <c r="H782" s="15"/>
      <c r="I782" s="15"/>
      <c r="J782" s="16"/>
      <c r="K782" s="13"/>
      <c r="L782" s="13"/>
      <c r="M782" s="13"/>
    </row>
    <row r="783" spans="1:13" ht="14.25" customHeight="1" x14ac:dyDescent="0.3">
      <c r="A783" s="13"/>
      <c r="B783" s="14"/>
      <c r="C783" s="14"/>
      <c r="D783" s="14"/>
      <c r="E783" s="13"/>
      <c r="F783" s="13"/>
      <c r="G783" s="13"/>
      <c r="H783" s="15"/>
      <c r="I783" s="15"/>
      <c r="J783" s="16"/>
      <c r="K783" s="13"/>
      <c r="L783" s="13"/>
      <c r="M783" s="13"/>
    </row>
    <row r="784" spans="1:13" ht="14.25" customHeight="1" x14ac:dyDescent="0.3">
      <c r="A784" s="13"/>
      <c r="B784" s="14"/>
      <c r="C784" s="14"/>
      <c r="D784" s="14"/>
      <c r="E784" s="13"/>
      <c r="F784" s="13"/>
      <c r="G784" s="13"/>
      <c r="H784" s="15"/>
      <c r="I784" s="15"/>
      <c r="J784" s="16"/>
      <c r="K784" s="13"/>
      <c r="L784" s="13"/>
      <c r="M784" s="13"/>
    </row>
    <row r="785" spans="1:13" ht="14.25" customHeight="1" x14ac:dyDescent="0.3">
      <c r="A785" s="13"/>
      <c r="B785" s="14"/>
      <c r="C785" s="14"/>
      <c r="D785" s="14"/>
      <c r="E785" s="13"/>
      <c r="F785" s="13"/>
      <c r="G785" s="13"/>
      <c r="H785" s="15"/>
      <c r="I785" s="15"/>
      <c r="J785" s="16"/>
      <c r="K785" s="13"/>
      <c r="L785" s="13"/>
      <c r="M785" s="13"/>
    </row>
    <row r="786" spans="1:13" ht="14.25" customHeight="1" x14ac:dyDescent="0.3">
      <c r="A786" s="13"/>
      <c r="B786" s="14"/>
      <c r="C786" s="14"/>
      <c r="D786" s="14"/>
      <c r="E786" s="13"/>
      <c r="F786" s="13"/>
      <c r="G786" s="13"/>
      <c r="H786" s="15"/>
      <c r="I786" s="15"/>
      <c r="J786" s="16"/>
      <c r="K786" s="13"/>
      <c r="L786" s="13"/>
      <c r="M786" s="13"/>
    </row>
    <row r="787" spans="1:13" ht="14.25" customHeight="1" x14ac:dyDescent="0.3">
      <c r="A787" s="13"/>
      <c r="B787" s="14"/>
      <c r="C787" s="14"/>
      <c r="D787" s="14"/>
      <c r="E787" s="13"/>
      <c r="F787" s="13"/>
      <c r="G787" s="13"/>
      <c r="H787" s="15"/>
      <c r="I787" s="15"/>
      <c r="J787" s="16"/>
      <c r="K787" s="13"/>
      <c r="L787" s="13"/>
      <c r="M787" s="13"/>
    </row>
    <row r="788" spans="1:13" ht="14.25" customHeight="1" x14ac:dyDescent="0.3">
      <c r="A788" s="13"/>
      <c r="B788" s="14"/>
      <c r="C788" s="14"/>
      <c r="D788" s="14"/>
      <c r="E788" s="13"/>
      <c r="F788" s="13"/>
      <c r="G788" s="13"/>
      <c r="H788" s="15"/>
      <c r="I788" s="15"/>
      <c r="J788" s="16"/>
      <c r="K788" s="13"/>
      <c r="L788" s="13"/>
      <c r="M788" s="13"/>
    </row>
    <row r="789" spans="1:13" ht="14.25" customHeight="1" x14ac:dyDescent="0.3">
      <c r="A789" s="13"/>
      <c r="B789" s="14"/>
      <c r="C789" s="14"/>
      <c r="D789" s="14"/>
      <c r="E789" s="13"/>
      <c r="F789" s="13"/>
      <c r="G789" s="13"/>
      <c r="H789" s="15"/>
      <c r="I789" s="15"/>
      <c r="J789" s="16"/>
      <c r="K789" s="13"/>
      <c r="L789" s="13"/>
      <c r="M789" s="13"/>
    </row>
    <row r="790" spans="1:13" ht="14.25" customHeight="1" x14ac:dyDescent="0.3">
      <c r="A790" s="13"/>
      <c r="B790" s="14"/>
      <c r="C790" s="14"/>
      <c r="D790" s="14"/>
      <c r="E790" s="13"/>
      <c r="F790" s="13"/>
      <c r="G790" s="13"/>
      <c r="H790" s="15"/>
      <c r="I790" s="15"/>
      <c r="J790" s="16"/>
      <c r="K790" s="13"/>
      <c r="L790" s="13"/>
      <c r="M790" s="13"/>
    </row>
    <row r="791" spans="1:13" ht="14.25" customHeight="1" x14ac:dyDescent="0.3">
      <c r="A791" s="13"/>
      <c r="B791" s="14"/>
      <c r="C791" s="14"/>
      <c r="D791" s="14"/>
      <c r="E791" s="13"/>
      <c r="F791" s="13"/>
      <c r="G791" s="13"/>
      <c r="H791" s="15"/>
      <c r="I791" s="15"/>
      <c r="J791" s="16"/>
      <c r="K791" s="13"/>
      <c r="L791" s="13"/>
      <c r="M791" s="13"/>
    </row>
    <row r="792" spans="1:13" ht="14.25" customHeight="1" x14ac:dyDescent="0.3">
      <c r="A792" s="13"/>
      <c r="B792" s="14"/>
      <c r="C792" s="14"/>
      <c r="D792" s="14"/>
      <c r="E792" s="13"/>
      <c r="F792" s="13"/>
      <c r="G792" s="13"/>
      <c r="H792" s="15"/>
      <c r="I792" s="15"/>
      <c r="J792" s="16"/>
      <c r="K792" s="13"/>
      <c r="L792" s="13"/>
      <c r="M792" s="13"/>
    </row>
    <row r="793" spans="1:13" ht="14.25" customHeight="1" x14ac:dyDescent="0.3">
      <c r="A793" s="13"/>
      <c r="B793" s="14"/>
      <c r="C793" s="14"/>
      <c r="D793" s="14"/>
      <c r="E793" s="13"/>
      <c r="F793" s="13"/>
      <c r="G793" s="13"/>
      <c r="H793" s="15"/>
      <c r="I793" s="15"/>
      <c r="J793" s="16"/>
      <c r="K793" s="13"/>
      <c r="L793" s="13"/>
      <c r="M793" s="13"/>
    </row>
    <row r="794" spans="1:13" ht="14.25" customHeight="1" x14ac:dyDescent="0.3">
      <c r="A794" s="13"/>
      <c r="B794" s="14"/>
      <c r="C794" s="14"/>
      <c r="D794" s="14"/>
      <c r="E794" s="13"/>
      <c r="F794" s="13"/>
      <c r="G794" s="13"/>
      <c r="H794" s="15"/>
      <c r="I794" s="15"/>
      <c r="J794" s="16"/>
      <c r="K794" s="13"/>
      <c r="L794" s="13"/>
      <c r="M794" s="13"/>
    </row>
    <row r="795" spans="1:13" ht="14.25" customHeight="1" x14ac:dyDescent="0.3">
      <c r="A795" s="13"/>
      <c r="B795" s="14"/>
      <c r="C795" s="14"/>
      <c r="D795" s="14"/>
      <c r="E795" s="13"/>
      <c r="F795" s="13"/>
      <c r="G795" s="13"/>
      <c r="H795" s="15"/>
      <c r="I795" s="15"/>
      <c r="J795" s="16"/>
      <c r="K795" s="13"/>
      <c r="L795" s="13"/>
      <c r="M795" s="13"/>
    </row>
    <row r="796" spans="1:13" ht="14.25" customHeight="1" x14ac:dyDescent="0.3">
      <c r="A796" s="13"/>
      <c r="B796" s="14"/>
      <c r="C796" s="14"/>
      <c r="D796" s="14"/>
      <c r="E796" s="13"/>
      <c r="F796" s="13"/>
      <c r="G796" s="13"/>
      <c r="H796" s="15"/>
      <c r="I796" s="15"/>
      <c r="J796" s="16"/>
      <c r="K796" s="13"/>
      <c r="L796" s="13"/>
      <c r="M796" s="13"/>
    </row>
    <row r="797" spans="1:13" ht="14.25" customHeight="1" x14ac:dyDescent="0.3">
      <c r="A797" s="13"/>
      <c r="B797" s="14"/>
      <c r="C797" s="14"/>
      <c r="D797" s="14"/>
      <c r="E797" s="13"/>
      <c r="F797" s="13"/>
      <c r="G797" s="13"/>
      <c r="H797" s="15"/>
      <c r="I797" s="15"/>
      <c r="J797" s="16"/>
      <c r="K797" s="13"/>
      <c r="L797" s="13"/>
      <c r="M797" s="13"/>
    </row>
    <row r="798" spans="1:13" ht="14.25" customHeight="1" x14ac:dyDescent="0.3">
      <c r="A798" s="13"/>
      <c r="B798" s="14"/>
      <c r="C798" s="14"/>
      <c r="D798" s="14"/>
      <c r="E798" s="13"/>
      <c r="F798" s="13"/>
      <c r="G798" s="13"/>
      <c r="H798" s="15"/>
      <c r="I798" s="15"/>
      <c r="J798" s="16"/>
      <c r="K798" s="13"/>
      <c r="L798" s="13"/>
      <c r="M798" s="13"/>
    </row>
    <row r="799" spans="1:13" ht="14.25" customHeight="1" x14ac:dyDescent="0.3">
      <c r="A799" s="13"/>
      <c r="B799" s="14"/>
      <c r="C799" s="14"/>
      <c r="D799" s="14"/>
      <c r="E799" s="13"/>
      <c r="F799" s="13"/>
      <c r="G799" s="13"/>
      <c r="H799" s="15"/>
      <c r="I799" s="15"/>
      <c r="J799" s="16"/>
      <c r="K799" s="13"/>
      <c r="L799" s="13"/>
      <c r="M799" s="13"/>
    </row>
    <row r="800" spans="1:13" ht="14.25" customHeight="1" x14ac:dyDescent="0.3">
      <c r="A800" s="13"/>
      <c r="B800" s="14"/>
      <c r="C800" s="14"/>
      <c r="D800" s="14"/>
      <c r="E800" s="13"/>
      <c r="F800" s="13"/>
      <c r="G800" s="13"/>
      <c r="H800" s="15"/>
      <c r="I800" s="15"/>
      <c r="J800" s="16"/>
      <c r="K800" s="13"/>
      <c r="L800" s="13"/>
      <c r="M800" s="13"/>
    </row>
    <row r="801" spans="1:13" ht="14.25" customHeight="1" x14ac:dyDescent="0.3">
      <c r="A801" s="13"/>
      <c r="B801" s="14"/>
      <c r="C801" s="14"/>
      <c r="D801" s="14"/>
      <c r="E801" s="13"/>
      <c r="F801" s="13"/>
      <c r="G801" s="13"/>
      <c r="H801" s="15"/>
      <c r="I801" s="15"/>
      <c r="J801" s="16"/>
      <c r="K801" s="13"/>
      <c r="L801" s="13"/>
      <c r="M801" s="13"/>
    </row>
    <row r="802" spans="1:13" ht="14.25" customHeight="1" x14ac:dyDescent="0.3">
      <c r="A802" s="13"/>
      <c r="B802" s="14"/>
      <c r="C802" s="14"/>
      <c r="D802" s="14"/>
      <c r="E802" s="13"/>
      <c r="F802" s="13"/>
      <c r="G802" s="13"/>
      <c r="H802" s="15"/>
      <c r="I802" s="15"/>
      <c r="J802" s="16"/>
      <c r="K802" s="13"/>
      <c r="L802" s="13"/>
      <c r="M802" s="13"/>
    </row>
    <row r="803" spans="1:13" ht="14.25" customHeight="1" x14ac:dyDescent="0.3">
      <c r="A803" s="13"/>
      <c r="B803" s="14"/>
      <c r="C803" s="14"/>
      <c r="D803" s="14"/>
      <c r="E803" s="13"/>
      <c r="F803" s="13"/>
      <c r="G803" s="13"/>
      <c r="H803" s="15"/>
      <c r="I803" s="15"/>
      <c r="J803" s="16"/>
      <c r="K803" s="13"/>
      <c r="L803" s="13"/>
      <c r="M803" s="13"/>
    </row>
    <row r="804" spans="1:13" ht="14.25" customHeight="1" x14ac:dyDescent="0.3">
      <c r="A804" s="13"/>
      <c r="B804" s="14"/>
      <c r="C804" s="14"/>
      <c r="D804" s="14"/>
      <c r="E804" s="13"/>
      <c r="F804" s="13"/>
      <c r="G804" s="13"/>
      <c r="H804" s="15"/>
      <c r="I804" s="15"/>
      <c r="J804" s="16"/>
      <c r="K804" s="13"/>
      <c r="L804" s="13"/>
      <c r="M804" s="13"/>
    </row>
    <row r="805" spans="1:13" ht="14.25" customHeight="1" x14ac:dyDescent="0.3">
      <c r="A805" s="13"/>
      <c r="B805" s="14"/>
      <c r="C805" s="14"/>
      <c r="D805" s="14"/>
      <c r="E805" s="13"/>
      <c r="F805" s="13"/>
      <c r="G805" s="13"/>
      <c r="H805" s="15"/>
      <c r="I805" s="15"/>
      <c r="J805" s="16"/>
      <c r="K805" s="13"/>
      <c r="L805" s="13"/>
      <c r="M805" s="13"/>
    </row>
    <row r="806" spans="1:13" ht="14.25" customHeight="1" x14ac:dyDescent="0.3">
      <c r="A806" s="13"/>
      <c r="B806" s="14"/>
      <c r="C806" s="14"/>
      <c r="D806" s="14"/>
      <c r="E806" s="13"/>
      <c r="F806" s="13"/>
      <c r="G806" s="13"/>
      <c r="H806" s="15"/>
      <c r="I806" s="15"/>
      <c r="J806" s="16"/>
      <c r="K806" s="13"/>
      <c r="L806" s="13"/>
      <c r="M806" s="13"/>
    </row>
    <row r="807" spans="1:13" ht="14.25" customHeight="1" x14ac:dyDescent="0.3">
      <c r="A807" s="13"/>
      <c r="B807" s="14"/>
      <c r="C807" s="14"/>
      <c r="D807" s="14"/>
      <c r="E807" s="13"/>
      <c r="F807" s="13"/>
      <c r="G807" s="13"/>
      <c r="H807" s="15"/>
      <c r="I807" s="15"/>
      <c r="J807" s="16"/>
      <c r="K807" s="13"/>
      <c r="L807" s="13"/>
      <c r="M807" s="13"/>
    </row>
    <row r="808" spans="1:13" ht="14.25" customHeight="1" x14ac:dyDescent="0.3">
      <c r="A808" s="13"/>
      <c r="B808" s="14"/>
      <c r="C808" s="14"/>
      <c r="D808" s="14"/>
      <c r="E808" s="13"/>
      <c r="F808" s="13"/>
      <c r="G808" s="13"/>
      <c r="H808" s="15"/>
      <c r="I808" s="15"/>
      <c r="J808" s="16"/>
      <c r="K808" s="13"/>
      <c r="L808" s="13"/>
      <c r="M808" s="13"/>
    </row>
    <row r="809" spans="1:13" ht="14.25" customHeight="1" x14ac:dyDescent="0.3">
      <c r="A809" s="13"/>
      <c r="B809" s="14"/>
      <c r="C809" s="14"/>
      <c r="D809" s="14"/>
      <c r="E809" s="13"/>
      <c r="F809" s="13"/>
      <c r="G809" s="13"/>
      <c r="H809" s="15"/>
      <c r="I809" s="15"/>
      <c r="J809" s="16"/>
      <c r="K809" s="13"/>
      <c r="L809" s="13"/>
      <c r="M809" s="13"/>
    </row>
    <row r="810" spans="1:13" ht="14.25" customHeight="1" x14ac:dyDescent="0.3">
      <c r="A810" s="13"/>
      <c r="B810" s="14"/>
      <c r="C810" s="14"/>
      <c r="D810" s="14"/>
      <c r="E810" s="13"/>
      <c r="F810" s="13"/>
      <c r="G810" s="13"/>
      <c r="H810" s="15"/>
      <c r="I810" s="15"/>
      <c r="J810" s="16"/>
      <c r="K810" s="13"/>
      <c r="L810" s="13"/>
      <c r="M810" s="13"/>
    </row>
    <row r="811" spans="1:13" ht="14.25" customHeight="1" x14ac:dyDescent="0.3">
      <c r="A811" s="13"/>
      <c r="B811" s="14"/>
      <c r="C811" s="14"/>
      <c r="D811" s="14"/>
      <c r="E811" s="13"/>
      <c r="F811" s="13"/>
      <c r="G811" s="13"/>
      <c r="H811" s="15"/>
      <c r="I811" s="15"/>
      <c r="J811" s="16"/>
      <c r="K811" s="13"/>
      <c r="L811" s="13"/>
      <c r="M811" s="13"/>
    </row>
    <row r="812" spans="1:13" ht="14.25" customHeight="1" x14ac:dyDescent="0.3">
      <c r="A812" s="13"/>
      <c r="B812" s="14"/>
      <c r="C812" s="14"/>
      <c r="D812" s="14"/>
      <c r="E812" s="13"/>
      <c r="F812" s="13"/>
      <c r="G812" s="13"/>
      <c r="H812" s="15"/>
      <c r="I812" s="15"/>
      <c r="J812" s="16"/>
      <c r="K812" s="13"/>
      <c r="L812" s="13"/>
      <c r="M812" s="13"/>
    </row>
    <row r="813" spans="1:13" ht="14.25" customHeight="1" x14ac:dyDescent="0.3">
      <c r="A813" s="13"/>
      <c r="B813" s="14"/>
      <c r="C813" s="14"/>
      <c r="D813" s="14"/>
      <c r="E813" s="13"/>
      <c r="F813" s="13"/>
      <c r="G813" s="13"/>
      <c r="H813" s="15"/>
      <c r="I813" s="15"/>
      <c r="J813" s="16"/>
      <c r="K813" s="13"/>
      <c r="L813" s="13"/>
      <c r="M813" s="13"/>
    </row>
    <row r="814" spans="1:13" ht="14.25" customHeight="1" x14ac:dyDescent="0.3">
      <c r="A814" s="13"/>
      <c r="B814" s="14"/>
      <c r="C814" s="14"/>
      <c r="D814" s="14"/>
      <c r="E814" s="13"/>
      <c r="F814" s="13"/>
      <c r="G814" s="13"/>
      <c r="H814" s="15"/>
      <c r="I814" s="15"/>
      <c r="J814" s="16"/>
      <c r="K814" s="13"/>
      <c r="L814" s="13"/>
      <c r="M814" s="13"/>
    </row>
    <row r="815" spans="1:13" ht="14.25" customHeight="1" x14ac:dyDescent="0.3">
      <c r="A815" s="13"/>
      <c r="B815" s="14"/>
      <c r="C815" s="14"/>
      <c r="D815" s="14"/>
      <c r="E815" s="13"/>
      <c r="F815" s="13"/>
      <c r="G815" s="13"/>
      <c r="H815" s="15"/>
      <c r="I815" s="15"/>
      <c r="J815" s="16"/>
      <c r="K815" s="13"/>
      <c r="L815" s="13"/>
      <c r="M815" s="13"/>
    </row>
    <row r="816" spans="1:13" ht="14.25" customHeight="1" x14ac:dyDescent="0.3">
      <c r="A816" s="13"/>
      <c r="B816" s="14"/>
      <c r="C816" s="14"/>
      <c r="D816" s="14"/>
      <c r="E816" s="13"/>
      <c r="F816" s="13"/>
      <c r="G816" s="13"/>
      <c r="H816" s="15"/>
      <c r="I816" s="15"/>
      <c r="J816" s="16"/>
      <c r="K816" s="13"/>
      <c r="L816" s="13"/>
      <c r="M816" s="13"/>
    </row>
    <row r="817" spans="1:13" ht="14.25" customHeight="1" x14ac:dyDescent="0.3">
      <c r="A817" s="13"/>
      <c r="B817" s="14"/>
      <c r="C817" s="14"/>
      <c r="D817" s="14"/>
      <c r="E817" s="13"/>
      <c r="F817" s="13"/>
      <c r="G817" s="13"/>
      <c r="H817" s="15"/>
      <c r="I817" s="15"/>
      <c r="J817" s="16"/>
      <c r="K817" s="13"/>
      <c r="L817" s="13"/>
      <c r="M817" s="13"/>
    </row>
    <row r="818" spans="1:13" ht="14.25" customHeight="1" x14ac:dyDescent="0.3">
      <c r="A818" s="13"/>
      <c r="B818" s="14"/>
      <c r="C818" s="14"/>
      <c r="D818" s="14"/>
      <c r="E818" s="13"/>
      <c r="F818" s="13"/>
      <c r="G818" s="13"/>
      <c r="H818" s="15"/>
      <c r="I818" s="15"/>
      <c r="J818" s="16"/>
      <c r="K818" s="13"/>
      <c r="L818" s="13"/>
      <c r="M818" s="13"/>
    </row>
    <row r="819" spans="1:13" ht="14.25" customHeight="1" x14ac:dyDescent="0.3">
      <c r="A819" s="13"/>
      <c r="B819" s="14"/>
      <c r="C819" s="14"/>
      <c r="D819" s="14"/>
      <c r="E819" s="13"/>
      <c r="F819" s="13"/>
      <c r="G819" s="13"/>
      <c r="H819" s="15"/>
      <c r="I819" s="15"/>
      <c r="J819" s="16"/>
      <c r="K819" s="13"/>
      <c r="L819" s="13"/>
      <c r="M819" s="13"/>
    </row>
    <row r="820" spans="1:13" ht="14.25" customHeight="1" x14ac:dyDescent="0.3">
      <c r="A820" s="13"/>
      <c r="B820" s="14"/>
      <c r="C820" s="14"/>
      <c r="D820" s="14"/>
      <c r="E820" s="13"/>
      <c r="F820" s="13"/>
      <c r="G820" s="13"/>
      <c r="H820" s="15"/>
      <c r="I820" s="15"/>
      <c r="J820" s="16"/>
      <c r="K820" s="13"/>
      <c r="L820" s="13"/>
      <c r="M820" s="13"/>
    </row>
    <row r="821" spans="1:13" ht="14.25" customHeight="1" x14ac:dyDescent="0.3">
      <c r="A821" s="13"/>
      <c r="B821" s="14"/>
      <c r="C821" s="14"/>
      <c r="D821" s="14"/>
      <c r="E821" s="13"/>
      <c r="F821" s="13"/>
      <c r="G821" s="13"/>
      <c r="H821" s="15"/>
      <c r="I821" s="15"/>
      <c r="J821" s="16"/>
      <c r="K821" s="13"/>
      <c r="L821" s="13"/>
      <c r="M821" s="13"/>
    </row>
    <row r="822" spans="1:13" ht="14.25" customHeight="1" x14ac:dyDescent="0.3">
      <c r="A822" s="13"/>
      <c r="B822" s="14"/>
      <c r="C822" s="14"/>
      <c r="D822" s="14"/>
      <c r="E822" s="13"/>
      <c r="F822" s="13"/>
      <c r="G822" s="13"/>
      <c r="H822" s="15"/>
      <c r="I822" s="15"/>
      <c r="J822" s="16"/>
      <c r="K822" s="13"/>
      <c r="L822" s="13"/>
      <c r="M822" s="13"/>
    </row>
    <row r="823" spans="1:13" ht="14.25" customHeight="1" x14ac:dyDescent="0.3">
      <c r="A823" s="13"/>
      <c r="B823" s="14"/>
      <c r="C823" s="14"/>
      <c r="D823" s="14"/>
      <c r="E823" s="13"/>
      <c r="F823" s="13"/>
      <c r="G823" s="13"/>
      <c r="H823" s="15"/>
      <c r="I823" s="15"/>
      <c r="J823" s="16"/>
      <c r="K823" s="13"/>
      <c r="L823" s="13"/>
      <c r="M823" s="13"/>
    </row>
    <row r="824" spans="1:13" ht="14.25" customHeight="1" x14ac:dyDescent="0.3">
      <c r="A824" s="13"/>
      <c r="B824" s="14"/>
      <c r="C824" s="14"/>
      <c r="D824" s="14"/>
      <c r="E824" s="13"/>
      <c r="F824" s="13"/>
      <c r="G824" s="13"/>
      <c r="H824" s="15"/>
      <c r="I824" s="15"/>
      <c r="J824" s="16"/>
      <c r="K824" s="13"/>
      <c r="L824" s="13"/>
      <c r="M824" s="13"/>
    </row>
    <row r="825" spans="1:13" ht="14.25" customHeight="1" x14ac:dyDescent="0.3">
      <c r="A825" s="13"/>
      <c r="B825" s="14"/>
      <c r="C825" s="14"/>
      <c r="D825" s="14"/>
      <c r="E825" s="13"/>
      <c r="F825" s="13"/>
      <c r="G825" s="13"/>
      <c r="H825" s="15"/>
      <c r="I825" s="15"/>
      <c r="J825" s="16"/>
      <c r="K825" s="13"/>
      <c r="L825" s="13"/>
      <c r="M825" s="13"/>
    </row>
    <row r="826" spans="1:13" ht="14.25" customHeight="1" x14ac:dyDescent="0.3">
      <c r="A826" s="13"/>
      <c r="B826" s="14"/>
      <c r="C826" s="14"/>
      <c r="D826" s="14"/>
      <c r="E826" s="13"/>
      <c r="F826" s="13"/>
      <c r="G826" s="13"/>
      <c r="H826" s="15"/>
      <c r="I826" s="15"/>
      <c r="J826" s="16"/>
      <c r="K826" s="13"/>
      <c r="L826" s="13"/>
      <c r="M826" s="13"/>
    </row>
    <row r="827" spans="1:13" ht="14.25" customHeight="1" x14ac:dyDescent="0.3">
      <c r="A827" s="13"/>
      <c r="B827" s="14"/>
      <c r="C827" s="14"/>
      <c r="D827" s="14"/>
      <c r="E827" s="13"/>
      <c r="F827" s="13"/>
      <c r="G827" s="13"/>
      <c r="H827" s="15"/>
      <c r="I827" s="15"/>
      <c r="J827" s="16"/>
      <c r="K827" s="13"/>
      <c r="L827" s="13"/>
      <c r="M827" s="13"/>
    </row>
    <row r="828" spans="1:13" ht="14.25" customHeight="1" x14ac:dyDescent="0.3">
      <c r="A828" s="13"/>
      <c r="B828" s="14"/>
      <c r="C828" s="14"/>
      <c r="D828" s="14"/>
      <c r="E828" s="13"/>
      <c r="F828" s="13"/>
      <c r="G828" s="13"/>
      <c r="H828" s="15"/>
      <c r="I828" s="15"/>
      <c r="J828" s="16"/>
      <c r="K828" s="13"/>
      <c r="L828" s="13"/>
      <c r="M828" s="13"/>
    </row>
    <row r="829" spans="1:13" ht="14.25" customHeight="1" x14ac:dyDescent="0.3">
      <c r="A829" s="13"/>
      <c r="B829" s="14"/>
      <c r="C829" s="14"/>
      <c r="D829" s="14"/>
      <c r="E829" s="13"/>
      <c r="F829" s="13"/>
      <c r="G829" s="13"/>
      <c r="H829" s="15"/>
      <c r="I829" s="15"/>
      <c r="J829" s="16"/>
      <c r="K829" s="13"/>
      <c r="L829" s="13"/>
      <c r="M829" s="13"/>
    </row>
    <row r="830" spans="1:13" ht="14.25" customHeight="1" x14ac:dyDescent="0.3">
      <c r="A830" s="13"/>
      <c r="B830" s="14"/>
      <c r="C830" s="14"/>
      <c r="D830" s="14"/>
      <c r="E830" s="13"/>
      <c r="F830" s="13"/>
      <c r="G830" s="13"/>
      <c r="H830" s="15"/>
      <c r="I830" s="15"/>
      <c r="J830" s="16"/>
      <c r="K830" s="13"/>
      <c r="L830" s="13"/>
      <c r="M830" s="13"/>
    </row>
    <row r="831" spans="1:13" ht="14.25" customHeight="1" x14ac:dyDescent="0.3">
      <c r="A831" s="13"/>
      <c r="B831" s="14"/>
      <c r="C831" s="14"/>
      <c r="D831" s="14"/>
      <c r="E831" s="13"/>
      <c r="F831" s="13"/>
      <c r="G831" s="13"/>
      <c r="H831" s="15"/>
      <c r="I831" s="15"/>
      <c r="J831" s="16"/>
      <c r="K831" s="13"/>
      <c r="L831" s="13"/>
      <c r="M831" s="13"/>
    </row>
    <row r="832" spans="1:13" ht="14.25" customHeight="1" x14ac:dyDescent="0.3">
      <c r="A832" s="13"/>
      <c r="B832" s="14"/>
      <c r="C832" s="14"/>
      <c r="D832" s="14"/>
      <c r="E832" s="13"/>
      <c r="F832" s="13"/>
      <c r="G832" s="13"/>
      <c r="H832" s="15"/>
      <c r="I832" s="15"/>
      <c r="J832" s="16"/>
      <c r="K832" s="13"/>
      <c r="L832" s="13"/>
      <c r="M832" s="13"/>
    </row>
    <row r="833" spans="1:13" ht="14.25" customHeight="1" x14ac:dyDescent="0.3">
      <c r="A833" s="13"/>
      <c r="B833" s="14"/>
      <c r="C833" s="14"/>
      <c r="D833" s="14"/>
      <c r="E833" s="13"/>
      <c r="F833" s="13"/>
      <c r="G833" s="13"/>
      <c r="H833" s="15"/>
      <c r="I833" s="15"/>
      <c r="J833" s="16"/>
      <c r="K833" s="13"/>
      <c r="L833" s="13"/>
      <c r="M833" s="13"/>
    </row>
    <row r="834" spans="1:13" ht="14.25" customHeight="1" x14ac:dyDescent="0.3">
      <c r="A834" s="13"/>
      <c r="B834" s="14"/>
      <c r="C834" s="14"/>
      <c r="D834" s="14"/>
      <c r="E834" s="13"/>
      <c r="F834" s="13"/>
      <c r="G834" s="13"/>
      <c r="H834" s="15"/>
      <c r="I834" s="15"/>
      <c r="J834" s="16"/>
      <c r="K834" s="13"/>
      <c r="L834" s="13"/>
      <c r="M834" s="13"/>
    </row>
    <row r="835" spans="1:13" ht="14.25" customHeight="1" x14ac:dyDescent="0.3">
      <c r="A835" s="13"/>
      <c r="B835" s="14"/>
      <c r="C835" s="14"/>
      <c r="D835" s="14"/>
      <c r="E835" s="13"/>
      <c r="F835" s="13"/>
      <c r="G835" s="13"/>
      <c r="H835" s="15"/>
      <c r="I835" s="15"/>
      <c r="J835" s="16"/>
      <c r="K835" s="13"/>
      <c r="L835" s="13"/>
      <c r="M835" s="13"/>
    </row>
    <row r="836" spans="1:13" ht="14.25" customHeight="1" x14ac:dyDescent="0.3">
      <c r="A836" s="13"/>
      <c r="B836" s="14"/>
      <c r="C836" s="14"/>
      <c r="D836" s="14"/>
      <c r="E836" s="13"/>
      <c r="F836" s="13"/>
      <c r="G836" s="13"/>
      <c r="H836" s="15"/>
      <c r="I836" s="15"/>
      <c r="J836" s="16"/>
      <c r="K836" s="13"/>
      <c r="L836" s="13"/>
      <c r="M836" s="13"/>
    </row>
    <row r="837" spans="1:13" ht="14.25" customHeight="1" x14ac:dyDescent="0.3">
      <c r="A837" s="13"/>
      <c r="B837" s="14"/>
      <c r="C837" s="14"/>
      <c r="D837" s="14"/>
      <c r="E837" s="13"/>
      <c r="F837" s="13"/>
      <c r="G837" s="13"/>
      <c r="H837" s="15"/>
      <c r="I837" s="15"/>
      <c r="J837" s="16"/>
      <c r="K837" s="13"/>
      <c r="L837" s="13"/>
      <c r="M837" s="13"/>
    </row>
    <row r="838" spans="1:13" ht="14.25" customHeight="1" x14ac:dyDescent="0.3">
      <c r="A838" s="13"/>
      <c r="B838" s="14"/>
      <c r="C838" s="14"/>
      <c r="D838" s="14"/>
      <c r="E838" s="13"/>
      <c r="F838" s="13"/>
      <c r="G838" s="13"/>
      <c r="H838" s="15"/>
      <c r="I838" s="15"/>
      <c r="J838" s="16"/>
      <c r="K838" s="13"/>
      <c r="L838" s="13"/>
      <c r="M838" s="13"/>
    </row>
    <row r="839" spans="1:13" ht="14.25" customHeight="1" x14ac:dyDescent="0.3">
      <c r="A839" s="13"/>
      <c r="B839" s="14"/>
      <c r="C839" s="14"/>
      <c r="D839" s="14"/>
      <c r="E839" s="13"/>
      <c r="F839" s="13"/>
      <c r="G839" s="13"/>
      <c r="H839" s="15"/>
      <c r="I839" s="15"/>
      <c r="J839" s="16"/>
      <c r="K839" s="13"/>
      <c r="L839" s="13"/>
      <c r="M839" s="13"/>
    </row>
    <row r="840" spans="1:13" ht="14.25" customHeight="1" x14ac:dyDescent="0.3">
      <c r="A840" s="13"/>
      <c r="B840" s="14"/>
      <c r="C840" s="14"/>
      <c r="D840" s="14"/>
      <c r="E840" s="13"/>
      <c r="F840" s="13"/>
      <c r="G840" s="13"/>
      <c r="H840" s="15"/>
      <c r="I840" s="15"/>
      <c r="J840" s="16"/>
      <c r="K840" s="13"/>
      <c r="L840" s="13"/>
      <c r="M840" s="13"/>
    </row>
    <row r="841" spans="1:13" ht="14.25" customHeight="1" x14ac:dyDescent="0.3">
      <c r="A841" s="13"/>
      <c r="B841" s="14"/>
      <c r="C841" s="14"/>
      <c r="D841" s="14"/>
      <c r="E841" s="13"/>
      <c r="F841" s="13"/>
      <c r="G841" s="13"/>
      <c r="H841" s="15"/>
      <c r="I841" s="15"/>
      <c r="J841" s="16"/>
      <c r="K841" s="13"/>
      <c r="L841" s="13"/>
      <c r="M841" s="13"/>
    </row>
    <row r="842" spans="1:13" ht="14.25" customHeight="1" x14ac:dyDescent="0.3">
      <c r="A842" s="13"/>
      <c r="B842" s="14"/>
      <c r="C842" s="14"/>
      <c r="D842" s="14"/>
      <c r="E842" s="13"/>
      <c r="F842" s="13"/>
      <c r="G842" s="13"/>
      <c r="H842" s="15"/>
      <c r="I842" s="15"/>
      <c r="J842" s="16"/>
      <c r="K842" s="13"/>
      <c r="L842" s="13"/>
      <c r="M842" s="13"/>
    </row>
    <row r="843" spans="1:13" ht="14.25" customHeight="1" x14ac:dyDescent="0.3">
      <c r="A843" s="13"/>
      <c r="B843" s="14"/>
      <c r="C843" s="14"/>
      <c r="D843" s="14"/>
      <c r="E843" s="13"/>
      <c r="F843" s="13"/>
      <c r="G843" s="13"/>
      <c r="H843" s="15"/>
      <c r="I843" s="15"/>
      <c r="J843" s="16"/>
      <c r="K843" s="13"/>
      <c r="L843" s="13"/>
      <c r="M843" s="13"/>
    </row>
    <row r="844" spans="1:13" ht="14.25" customHeight="1" x14ac:dyDescent="0.3">
      <c r="A844" s="13"/>
      <c r="B844" s="14"/>
      <c r="C844" s="14"/>
      <c r="D844" s="14"/>
      <c r="E844" s="13"/>
      <c r="F844" s="13"/>
      <c r="G844" s="13"/>
      <c r="H844" s="15"/>
      <c r="I844" s="15"/>
      <c r="J844" s="16"/>
      <c r="K844" s="13"/>
      <c r="L844" s="13"/>
      <c r="M844" s="13"/>
    </row>
    <row r="845" spans="1:13" ht="14.25" customHeight="1" x14ac:dyDescent="0.3">
      <c r="A845" s="13"/>
      <c r="B845" s="14"/>
      <c r="C845" s="14"/>
      <c r="D845" s="14"/>
      <c r="E845" s="13"/>
      <c r="F845" s="13"/>
      <c r="G845" s="13"/>
      <c r="H845" s="15"/>
      <c r="I845" s="15"/>
      <c r="J845" s="16"/>
      <c r="K845" s="13"/>
      <c r="L845" s="13"/>
      <c r="M845" s="13"/>
    </row>
    <row r="846" spans="1:13" ht="14.25" customHeight="1" x14ac:dyDescent="0.3">
      <c r="A846" s="13"/>
      <c r="B846" s="14"/>
      <c r="C846" s="14"/>
      <c r="D846" s="14"/>
      <c r="E846" s="13"/>
      <c r="F846" s="13"/>
      <c r="G846" s="13"/>
      <c r="H846" s="15"/>
      <c r="I846" s="15"/>
      <c r="J846" s="16"/>
      <c r="K846" s="13"/>
      <c r="L846" s="13"/>
      <c r="M846" s="13"/>
    </row>
    <row r="847" spans="1:13" ht="14.25" customHeight="1" x14ac:dyDescent="0.3">
      <c r="A847" s="13"/>
      <c r="B847" s="14"/>
      <c r="C847" s="14"/>
      <c r="D847" s="14"/>
      <c r="E847" s="13"/>
      <c r="F847" s="13"/>
      <c r="G847" s="13"/>
      <c r="H847" s="15"/>
      <c r="I847" s="15"/>
      <c r="J847" s="16"/>
      <c r="K847" s="13"/>
      <c r="L847" s="13"/>
      <c r="M847" s="13"/>
    </row>
    <row r="848" spans="1:13" ht="14.25" customHeight="1" x14ac:dyDescent="0.3">
      <c r="A848" s="13"/>
      <c r="B848" s="14"/>
      <c r="C848" s="14"/>
      <c r="D848" s="14"/>
      <c r="E848" s="13"/>
      <c r="F848" s="13"/>
      <c r="G848" s="13"/>
      <c r="H848" s="15"/>
      <c r="I848" s="15"/>
      <c r="J848" s="16"/>
      <c r="K848" s="13"/>
      <c r="L848" s="13"/>
      <c r="M848" s="13"/>
    </row>
    <row r="849" spans="1:13" ht="14.25" customHeight="1" x14ac:dyDescent="0.3">
      <c r="A849" s="13"/>
      <c r="B849" s="14"/>
      <c r="C849" s="14"/>
      <c r="D849" s="14"/>
      <c r="E849" s="13"/>
      <c r="F849" s="13"/>
      <c r="G849" s="13"/>
      <c r="H849" s="15"/>
      <c r="I849" s="15"/>
      <c r="J849" s="16"/>
      <c r="K849" s="13"/>
      <c r="L849" s="13"/>
      <c r="M849" s="13"/>
    </row>
    <row r="850" spans="1:13" ht="14.25" customHeight="1" x14ac:dyDescent="0.3">
      <c r="A850" s="13"/>
      <c r="B850" s="14"/>
      <c r="C850" s="14"/>
      <c r="D850" s="14"/>
      <c r="E850" s="13"/>
      <c r="F850" s="13"/>
      <c r="G850" s="13"/>
      <c r="H850" s="15"/>
      <c r="I850" s="15"/>
      <c r="J850" s="16"/>
      <c r="K850" s="13"/>
      <c r="L850" s="13"/>
      <c r="M850" s="13"/>
    </row>
    <row r="851" spans="1:13" ht="14.25" customHeight="1" x14ac:dyDescent="0.3">
      <c r="A851" s="13"/>
      <c r="B851" s="14"/>
      <c r="C851" s="14"/>
      <c r="D851" s="14"/>
      <c r="E851" s="13"/>
      <c r="F851" s="13"/>
      <c r="G851" s="13"/>
      <c r="H851" s="15"/>
      <c r="I851" s="15"/>
      <c r="J851" s="16"/>
      <c r="K851" s="13"/>
      <c r="L851" s="13"/>
      <c r="M851" s="13"/>
    </row>
    <row r="852" spans="1:13" ht="14.25" customHeight="1" x14ac:dyDescent="0.3">
      <c r="A852" s="13"/>
      <c r="B852" s="14"/>
      <c r="C852" s="14"/>
      <c r="D852" s="14"/>
      <c r="E852" s="13"/>
      <c r="F852" s="13"/>
      <c r="G852" s="13"/>
      <c r="H852" s="15"/>
      <c r="I852" s="15"/>
      <c r="J852" s="16"/>
      <c r="K852" s="13"/>
      <c r="L852" s="13"/>
      <c r="M852" s="13"/>
    </row>
    <row r="853" spans="1:13" ht="14.25" customHeight="1" x14ac:dyDescent="0.3">
      <c r="A853" s="13"/>
      <c r="B853" s="14"/>
      <c r="C853" s="14"/>
      <c r="D853" s="14"/>
      <c r="E853" s="13"/>
      <c r="F853" s="13"/>
      <c r="G853" s="13"/>
      <c r="H853" s="15"/>
      <c r="I853" s="15"/>
      <c r="J853" s="16"/>
      <c r="K853" s="13"/>
      <c r="L853" s="13"/>
      <c r="M853" s="13"/>
    </row>
    <row r="854" spans="1:13" ht="14.25" customHeight="1" x14ac:dyDescent="0.3">
      <c r="A854" s="13"/>
      <c r="B854" s="14"/>
      <c r="C854" s="14"/>
      <c r="D854" s="14"/>
      <c r="E854" s="13"/>
      <c r="F854" s="13"/>
      <c r="G854" s="13"/>
      <c r="H854" s="15"/>
      <c r="I854" s="15"/>
      <c r="J854" s="16"/>
      <c r="K854" s="13"/>
      <c r="L854" s="13"/>
      <c r="M854" s="13"/>
    </row>
    <row r="855" spans="1:13" ht="14.25" customHeight="1" x14ac:dyDescent="0.3">
      <c r="A855" s="13"/>
      <c r="B855" s="14"/>
      <c r="C855" s="14"/>
      <c r="D855" s="14"/>
      <c r="E855" s="13"/>
      <c r="F855" s="13"/>
      <c r="G855" s="13"/>
      <c r="H855" s="15"/>
      <c r="I855" s="15"/>
      <c r="J855" s="16"/>
      <c r="K855" s="13"/>
      <c r="L855" s="13"/>
      <c r="M855" s="13"/>
    </row>
    <row r="856" spans="1:13" ht="14.25" customHeight="1" x14ac:dyDescent="0.3">
      <c r="A856" s="13"/>
      <c r="B856" s="14"/>
      <c r="C856" s="14"/>
      <c r="D856" s="14"/>
      <c r="E856" s="13"/>
      <c r="F856" s="13"/>
      <c r="G856" s="13"/>
      <c r="H856" s="15"/>
      <c r="I856" s="15"/>
      <c r="J856" s="16"/>
      <c r="K856" s="13"/>
      <c r="L856" s="13"/>
      <c r="M856" s="13"/>
    </row>
    <row r="857" spans="1:13" ht="14.25" customHeight="1" x14ac:dyDescent="0.3">
      <c r="A857" s="13"/>
      <c r="B857" s="14"/>
      <c r="C857" s="14"/>
      <c r="D857" s="14"/>
      <c r="E857" s="13"/>
      <c r="F857" s="13"/>
      <c r="G857" s="13"/>
      <c r="H857" s="15"/>
      <c r="I857" s="15"/>
      <c r="J857" s="16"/>
      <c r="K857" s="13"/>
      <c r="L857" s="13"/>
      <c r="M857" s="13"/>
    </row>
    <row r="858" spans="1:13" ht="14.25" customHeight="1" x14ac:dyDescent="0.3">
      <c r="A858" s="13"/>
      <c r="B858" s="14"/>
      <c r="C858" s="14"/>
      <c r="D858" s="14"/>
      <c r="E858" s="13"/>
      <c r="F858" s="13"/>
      <c r="G858" s="13"/>
      <c r="H858" s="15"/>
      <c r="I858" s="15"/>
      <c r="J858" s="16"/>
      <c r="K858" s="13"/>
      <c r="L858" s="13"/>
      <c r="M858" s="13"/>
    </row>
    <row r="859" spans="1:13" ht="14.25" customHeight="1" x14ac:dyDescent="0.3">
      <c r="A859" s="13"/>
      <c r="B859" s="14"/>
      <c r="C859" s="14"/>
      <c r="D859" s="14"/>
      <c r="E859" s="13"/>
      <c r="F859" s="13"/>
      <c r="G859" s="13"/>
      <c r="H859" s="15"/>
      <c r="I859" s="15"/>
      <c r="J859" s="16"/>
      <c r="K859" s="13"/>
      <c r="L859" s="13"/>
      <c r="M859" s="13"/>
    </row>
    <row r="860" spans="1:13" ht="14.25" customHeight="1" x14ac:dyDescent="0.3">
      <c r="A860" s="13"/>
      <c r="B860" s="14"/>
      <c r="C860" s="14"/>
      <c r="D860" s="14"/>
      <c r="E860" s="13"/>
      <c r="F860" s="13"/>
      <c r="G860" s="13"/>
      <c r="H860" s="15"/>
      <c r="I860" s="15"/>
      <c r="J860" s="16"/>
      <c r="K860" s="13"/>
      <c r="L860" s="13"/>
      <c r="M860" s="13"/>
    </row>
    <row r="861" spans="1:13" ht="14.25" customHeight="1" x14ac:dyDescent="0.3">
      <c r="A861" s="13"/>
      <c r="B861" s="14"/>
      <c r="C861" s="14"/>
      <c r="D861" s="14"/>
      <c r="E861" s="13"/>
      <c r="F861" s="13"/>
      <c r="G861" s="13"/>
      <c r="H861" s="15"/>
      <c r="I861" s="15"/>
      <c r="J861" s="16"/>
      <c r="K861" s="13"/>
      <c r="L861" s="13"/>
      <c r="M861" s="13"/>
    </row>
    <row r="862" spans="1:13" ht="14.25" customHeight="1" x14ac:dyDescent="0.3">
      <c r="A862" s="13"/>
      <c r="B862" s="14"/>
      <c r="C862" s="14"/>
      <c r="D862" s="14"/>
      <c r="E862" s="13"/>
      <c r="F862" s="13"/>
      <c r="G862" s="13"/>
      <c r="H862" s="15"/>
      <c r="I862" s="15"/>
      <c r="J862" s="16"/>
      <c r="K862" s="13"/>
      <c r="L862" s="13"/>
      <c r="M862" s="13"/>
    </row>
    <row r="863" spans="1:13" ht="14.25" customHeight="1" x14ac:dyDescent="0.3">
      <c r="A863" s="13"/>
      <c r="B863" s="14"/>
      <c r="C863" s="14"/>
      <c r="D863" s="14"/>
      <c r="E863" s="13"/>
      <c r="F863" s="13"/>
      <c r="G863" s="13"/>
      <c r="H863" s="15"/>
      <c r="I863" s="15"/>
      <c r="J863" s="16"/>
      <c r="K863" s="13"/>
      <c r="L863" s="13"/>
      <c r="M863" s="13"/>
    </row>
    <row r="864" spans="1:13" ht="14.25" customHeight="1" x14ac:dyDescent="0.3">
      <c r="A864" s="13"/>
      <c r="B864" s="14"/>
      <c r="C864" s="14"/>
      <c r="D864" s="14"/>
      <c r="E864" s="13"/>
      <c r="F864" s="13"/>
      <c r="G864" s="13"/>
      <c r="H864" s="15"/>
      <c r="I864" s="15"/>
      <c r="J864" s="16"/>
      <c r="K864" s="13"/>
      <c r="L864" s="13"/>
      <c r="M864" s="13"/>
    </row>
    <row r="865" spans="1:13" ht="14.25" customHeight="1" x14ac:dyDescent="0.3">
      <c r="A865" s="13"/>
      <c r="B865" s="14"/>
      <c r="C865" s="14"/>
      <c r="D865" s="14"/>
      <c r="E865" s="13"/>
      <c r="F865" s="13"/>
      <c r="G865" s="13"/>
      <c r="H865" s="15"/>
      <c r="I865" s="15"/>
      <c r="J865" s="16"/>
      <c r="K865" s="13"/>
      <c r="L865" s="13"/>
      <c r="M865" s="13"/>
    </row>
    <row r="866" spans="1:13" ht="14.25" customHeight="1" x14ac:dyDescent="0.3">
      <c r="A866" s="13"/>
      <c r="B866" s="14"/>
      <c r="C866" s="14"/>
      <c r="D866" s="14"/>
      <c r="E866" s="13"/>
      <c r="F866" s="13"/>
      <c r="G866" s="13"/>
      <c r="H866" s="15"/>
      <c r="I866" s="15"/>
      <c r="J866" s="16"/>
      <c r="K866" s="13"/>
      <c r="L866" s="13"/>
      <c r="M866" s="13"/>
    </row>
    <row r="867" spans="1:13" ht="14.25" customHeight="1" x14ac:dyDescent="0.3">
      <c r="A867" s="13"/>
      <c r="B867" s="14"/>
      <c r="C867" s="14"/>
      <c r="D867" s="14"/>
      <c r="E867" s="13"/>
      <c r="F867" s="13"/>
      <c r="G867" s="13"/>
      <c r="H867" s="15"/>
      <c r="I867" s="15"/>
      <c r="J867" s="16"/>
      <c r="K867" s="13"/>
      <c r="L867" s="13"/>
      <c r="M867" s="13"/>
    </row>
    <row r="868" spans="1:13" ht="14.25" customHeight="1" x14ac:dyDescent="0.3">
      <c r="A868" s="13"/>
      <c r="B868" s="14"/>
      <c r="C868" s="14"/>
      <c r="D868" s="14"/>
      <c r="E868" s="13"/>
      <c r="F868" s="13"/>
      <c r="G868" s="13"/>
      <c r="H868" s="15"/>
      <c r="I868" s="15"/>
      <c r="J868" s="16"/>
      <c r="K868" s="13"/>
      <c r="L868" s="13"/>
      <c r="M868" s="13"/>
    </row>
    <row r="869" spans="1:13" ht="14.25" customHeight="1" x14ac:dyDescent="0.3">
      <c r="A869" s="13"/>
      <c r="B869" s="14"/>
      <c r="C869" s="14"/>
      <c r="D869" s="14"/>
      <c r="E869" s="13"/>
      <c r="F869" s="13"/>
      <c r="G869" s="13"/>
      <c r="H869" s="15"/>
      <c r="I869" s="15"/>
      <c r="J869" s="16"/>
      <c r="K869" s="13"/>
      <c r="L869" s="13"/>
      <c r="M869" s="13"/>
    </row>
    <row r="870" spans="1:13" ht="14.25" customHeight="1" x14ac:dyDescent="0.3">
      <c r="A870" s="13"/>
      <c r="B870" s="14"/>
      <c r="C870" s="14"/>
      <c r="D870" s="14"/>
      <c r="E870" s="13"/>
      <c r="F870" s="13"/>
      <c r="G870" s="13"/>
      <c r="H870" s="15"/>
      <c r="I870" s="15"/>
      <c r="J870" s="16"/>
      <c r="K870" s="13"/>
      <c r="L870" s="13"/>
      <c r="M870" s="13"/>
    </row>
    <row r="871" spans="1:13" ht="14.25" customHeight="1" x14ac:dyDescent="0.3">
      <c r="A871" s="13"/>
      <c r="B871" s="14"/>
      <c r="C871" s="14"/>
      <c r="D871" s="14"/>
      <c r="E871" s="13"/>
      <c r="F871" s="13"/>
      <c r="G871" s="13"/>
      <c r="H871" s="15"/>
      <c r="I871" s="15"/>
      <c r="J871" s="16"/>
      <c r="K871" s="13"/>
      <c r="L871" s="13"/>
      <c r="M871" s="13"/>
    </row>
    <row r="872" spans="1:13" ht="14.25" customHeight="1" x14ac:dyDescent="0.3">
      <c r="A872" s="13"/>
      <c r="B872" s="14"/>
      <c r="C872" s="14"/>
      <c r="D872" s="14"/>
      <c r="E872" s="13"/>
      <c r="F872" s="13"/>
      <c r="G872" s="13"/>
      <c r="H872" s="15"/>
      <c r="I872" s="15"/>
      <c r="J872" s="16"/>
      <c r="K872" s="13"/>
      <c r="L872" s="13"/>
      <c r="M872" s="13"/>
    </row>
    <row r="873" spans="1:13" ht="14.25" customHeight="1" x14ac:dyDescent="0.3">
      <c r="A873" s="13"/>
      <c r="B873" s="14"/>
      <c r="C873" s="14"/>
      <c r="D873" s="14"/>
      <c r="E873" s="13"/>
      <c r="F873" s="13"/>
      <c r="G873" s="13"/>
      <c r="H873" s="15"/>
      <c r="I873" s="15"/>
      <c r="J873" s="16"/>
      <c r="K873" s="13"/>
      <c r="L873" s="13"/>
      <c r="M873" s="13"/>
    </row>
    <row r="874" spans="1:13" ht="14.25" customHeight="1" x14ac:dyDescent="0.3">
      <c r="A874" s="13"/>
      <c r="B874" s="14"/>
      <c r="C874" s="14"/>
      <c r="D874" s="14"/>
      <c r="E874" s="13"/>
      <c r="F874" s="13"/>
      <c r="G874" s="13"/>
      <c r="H874" s="15"/>
      <c r="I874" s="15"/>
      <c r="J874" s="16"/>
      <c r="K874" s="13"/>
      <c r="L874" s="13"/>
      <c r="M874" s="13"/>
    </row>
    <row r="875" spans="1:13" ht="14.25" customHeight="1" x14ac:dyDescent="0.3">
      <c r="A875" s="13"/>
      <c r="B875" s="14"/>
      <c r="C875" s="14"/>
      <c r="D875" s="14"/>
      <c r="E875" s="13"/>
      <c r="F875" s="13"/>
      <c r="G875" s="13"/>
      <c r="H875" s="15"/>
      <c r="I875" s="15"/>
      <c r="J875" s="16"/>
      <c r="K875" s="13"/>
      <c r="L875" s="13"/>
      <c r="M875" s="13"/>
    </row>
    <row r="876" spans="1:13" ht="14.25" customHeight="1" x14ac:dyDescent="0.3">
      <c r="A876" s="13"/>
      <c r="B876" s="14"/>
      <c r="C876" s="14"/>
      <c r="D876" s="14"/>
      <c r="E876" s="13"/>
      <c r="F876" s="13"/>
      <c r="G876" s="13"/>
      <c r="H876" s="15"/>
      <c r="I876" s="15"/>
      <c r="J876" s="16"/>
      <c r="K876" s="13"/>
      <c r="L876" s="13"/>
      <c r="M876" s="13"/>
    </row>
    <row r="877" spans="1:13" ht="14.25" customHeight="1" x14ac:dyDescent="0.3">
      <c r="A877" s="13"/>
      <c r="B877" s="14"/>
      <c r="C877" s="14"/>
      <c r="D877" s="14"/>
      <c r="E877" s="13"/>
      <c r="F877" s="13"/>
      <c r="G877" s="13"/>
      <c r="H877" s="15"/>
      <c r="I877" s="15"/>
      <c r="J877" s="16"/>
      <c r="K877" s="13"/>
      <c r="L877" s="13"/>
      <c r="M877" s="13"/>
    </row>
    <row r="878" spans="1:13" ht="14.25" customHeight="1" x14ac:dyDescent="0.3">
      <c r="A878" s="13"/>
      <c r="B878" s="14"/>
      <c r="C878" s="14"/>
      <c r="D878" s="14"/>
      <c r="E878" s="13"/>
      <c r="F878" s="13"/>
      <c r="G878" s="13"/>
      <c r="H878" s="15"/>
      <c r="I878" s="15"/>
      <c r="J878" s="16"/>
      <c r="K878" s="13"/>
      <c r="L878" s="13"/>
      <c r="M878" s="13"/>
    </row>
    <row r="879" spans="1:13" ht="14.25" customHeight="1" x14ac:dyDescent="0.3">
      <c r="A879" s="13"/>
      <c r="B879" s="14"/>
      <c r="C879" s="14"/>
      <c r="D879" s="14"/>
      <c r="E879" s="13"/>
      <c r="F879" s="13"/>
      <c r="G879" s="13"/>
      <c r="H879" s="15"/>
      <c r="I879" s="15"/>
      <c r="J879" s="16"/>
      <c r="K879" s="13"/>
      <c r="L879" s="13"/>
      <c r="M879" s="13"/>
    </row>
    <row r="880" spans="1:13" ht="14.25" customHeight="1" x14ac:dyDescent="0.3">
      <c r="A880" s="13"/>
      <c r="B880" s="14"/>
      <c r="C880" s="14"/>
      <c r="D880" s="14"/>
      <c r="E880" s="13"/>
      <c r="F880" s="13"/>
      <c r="G880" s="13"/>
      <c r="H880" s="15"/>
      <c r="I880" s="15"/>
      <c r="J880" s="16"/>
      <c r="K880" s="13"/>
      <c r="L880" s="13"/>
      <c r="M880" s="13"/>
    </row>
    <row r="881" spans="1:13" ht="14.25" customHeight="1" x14ac:dyDescent="0.3">
      <c r="A881" s="13"/>
      <c r="B881" s="14"/>
      <c r="C881" s="14"/>
      <c r="D881" s="14"/>
      <c r="E881" s="13"/>
      <c r="F881" s="13"/>
      <c r="G881" s="13"/>
      <c r="H881" s="15"/>
      <c r="I881" s="15"/>
      <c r="J881" s="16"/>
      <c r="K881" s="13"/>
      <c r="L881" s="13"/>
      <c r="M881" s="13"/>
    </row>
    <row r="882" spans="1:13" ht="14.25" customHeight="1" x14ac:dyDescent="0.3">
      <c r="A882" s="13"/>
      <c r="B882" s="14"/>
      <c r="C882" s="14"/>
      <c r="D882" s="14"/>
      <c r="E882" s="13"/>
      <c r="F882" s="13"/>
      <c r="G882" s="13"/>
      <c r="H882" s="15"/>
      <c r="I882" s="15"/>
      <c r="J882" s="16"/>
      <c r="K882" s="13"/>
      <c r="L882" s="13"/>
      <c r="M882" s="13"/>
    </row>
    <row r="883" spans="1:13" ht="14.25" customHeight="1" x14ac:dyDescent="0.3">
      <c r="A883" s="13"/>
      <c r="B883" s="14"/>
      <c r="C883" s="14"/>
      <c r="D883" s="14"/>
      <c r="E883" s="13"/>
      <c r="F883" s="13"/>
      <c r="G883" s="13"/>
      <c r="H883" s="15"/>
      <c r="I883" s="15"/>
      <c r="J883" s="16"/>
      <c r="K883" s="13"/>
      <c r="L883" s="13"/>
      <c r="M883" s="13"/>
    </row>
    <row r="884" spans="1:13" ht="14.25" customHeight="1" x14ac:dyDescent="0.3">
      <c r="A884" s="13"/>
      <c r="B884" s="14"/>
      <c r="C884" s="14"/>
      <c r="D884" s="14"/>
      <c r="E884" s="13"/>
      <c r="F884" s="13"/>
      <c r="G884" s="13"/>
      <c r="H884" s="15"/>
      <c r="I884" s="15"/>
      <c r="J884" s="16"/>
      <c r="K884" s="13"/>
      <c r="L884" s="13"/>
      <c r="M884" s="13"/>
    </row>
    <row r="885" spans="1:13" ht="14.25" customHeight="1" x14ac:dyDescent="0.3">
      <c r="A885" s="13"/>
      <c r="B885" s="14"/>
      <c r="C885" s="14"/>
      <c r="D885" s="14"/>
      <c r="E885" s="13"/>
      <c r="F885" s="13"/>
      <c r="G885" s="13"/>
      <c r="H885" s="15"/>
      <c r="I885" s="15"/>
      <c r="J885" s="16"/>
      <c r="K885" s="13"/>
      <c r="L885" s="13"/>
      <c r="M885" s="13"/>
    </row>
    <row r="886" spans="1:13" ht="14.25" customHeight="1" x14ac:dyDescent="0.3">
      <c r="A886" s="13"/>
      <c r="B886" s="14"/>
      <c r="C886" s="14"/>
      <c r="D886" s="14"/>
      <c r="E886" s="13"/>
      <c r="F886" s="13"/>
      <c r="G886" s="13"/>
      <c r="H886" s="15"/>
      <c r="I886" s="15"/>
      <c r="J886" s="16"/>
      <c r="K886" s="13"/>
      <c r="L886" s="13"/>
      <c r="M886" s="13"/>
    </row>
    <row r="887" spans="1:13" ht="14.25" customHeight="1" x14ac:dyDescent="0.3">
      <c r="A887" s="13"/>
      <c r="B887" s="14"/>
      <c r="C887" s="14"/>
      <c r="D887" s="14"/>
      <c r="E887" s="13"/>
      <c r="F887" s="13"/>
      <c r="G887" s="13"/>
      <c r="H887" s="15"/>
      <c r="I887" s="15"/>
      <c r="J887" s="16"/>
      <c r="K887" s="13"/>
      <c r="L887" s="13"/>
      <c r="M887" s="13"/>
    </row>
    <row r="888" spans="1:13" ht="14.25" customHeight="1" x14ac:dyDescent="0.3">
      <c r="A888" s="13"/>
      <c r="B888" s="14"/>
      <c r="C888" s="14"/>
      <c r="D888" s="14"/>
      <c r="E888" s="13"/>
      <c r="F888" s="13"/>
      <c r="G888" s="13"/>
      <c r="H888" s="15"/>
      <c r="I888" s="15"/>
      <c r="J888" s="16"/>
      <c r="K888" s="13"/>
      <c r="L888" s="13"/>
      <c r="M888" s="13"/>
    </row>
    <row r="889" spans="1:13" ht="14.25" customHeight="1" x14ac:dyDescent="0.3">
      <c r="A889" s="13"/>
      <c r="B889" s="14"/>
      <c r="C889" s="14"/>
      <c r="D889" s="14"/>
      <c r="E889" s="13"/>
      <c r="F889" s="13"/>
      <c r="G889" s="13"/>
      <c r="H889" s="15"/>
      <c r="I889" s="15"/>
      <c r="J889" s="16"/>
      <c r="K889" s="13"/>
      <c r="L889" s="13"/>
      <c r="M889" s="13"/>
    </row>
    <row r="890" spans="1:13" ht="14.25" customHeight="1" x14ac:dyDescent="0.3">
      <c r="A890" s="13"/>
      <c r="B890" s="14"/>
      <c r="C890" s="14"/>
      <c r="D890" s="14"/>
      <c r="E890" s="13"/>
      <c r="F890" s="13"/>
      <c r="G890" s="13"/>
      <c r="H890" s="15"/>
      <c r="I890" s="15"/>
      <c r="J890" s="16"/>
      <c r="K890" s="13"/>
      <c r="L890" s="13"/>
      <c r="M890" s="13"/>
    </row>
    <row r="891" spans="1:13" ht="14.25" customHeight="1" x14ac:dyDescent="0.3">
      <c r="A891" s="13"/>
      <c r="B891" s="14"/>
      <c r="C891" s="14"/>
      <c r="D891" s="14"/>
      <c r="E891" s="13"/>
      <c r="F891" s="13"/>
      <c r="G891" s="13"/>
      <c r="H891" s="15"/>
      <c r="I891" s="15"/>
      <c r="J891" s="16"/>
      <c r="K891" s="13"/>
      <c r="L891" s="13"/>
      <c r="M891" s="13"/>
    </row>
    <row r="892" spans="1:13" ht="14.25" customHeight="1" x14ac:dyDescent="0.3">
      <c r="A892" s="13"/>
      <c r="B892" s="14"/>
      <c r="C892" s="14"/>
      <c r="D892" s="14"/>
      <c r="E892" s="13"/>
      <c r="F892" s="13"/>
      <c r="G892" s="13"/>
      <c r="H892" s="15"/>
      <c r="I892" s="15"/>
      <c r="J892" s="16"/>
      <c r="K892" s="13"/>
      <c r="L892" s="13"/>
      <c r="M892" s="13"/>
    </row>
    <row r="893" spans="1:13" ht="14.25" customHeight="1" x14ac:dyDescent="0.3">
      <c r="A893" s="13"/>
      <c r="B893" s="14"/>
      <c r="C893" s="14"/>
      <c r="D893" s="14"/>
      <c r="E893" s="13"/>
      <c r="F893" s="13"/>
      <c r="G893" s="13"/>
      <c r="H893" s="15"/>
      <c r="I893" s="15"/>
      <c r="J893" s="16"/>
      <c r="K893" s="13"/>
      <c r="L893" s="13"/>
      <c r="M893" s="13"/>
    </row>
    <row r="894" spans="1:13" ht="14.25" customHeight="1" x14ac:dyDescent="0.3">
      <c r="A894" s="13"/>
      <c r="B894" s="14"/>
      <c r="C894" s="14"/>
      <c r="D894" s="14"/>
      <c r="E894" s="13"/>
      <c r="F894" s="13"/>
      <c r="G894" s="13"/>
      <c r="H894" s="15"/>
      <c r="I894" s="15"/>
      <c r="J894" s="16"/>
      <c r="K894" s="13"/>
      <c r="L894" s="13"/>
      <c r="M894" s="13"/>
    </row>
    <row r="895" spans="1:13" ht="14.25" customHeight="1" x14ac:dyDescent="0.3">
      <c r="A895" s="13"/>
      <c r="B895" s="14"/>
      <c r="C895" s="14"/>
      <c r="D895" s="14"/>
      <c r="E895" s="13"/>
      <c r="F895" s="13"/>
      <c r="G895" s="13"/>
      <c r="H895" s="15"/>
      <c r="I895" s="15"/>
      <c r="J895" s="16"/>
      <c r="K895" s="13"/>
      <c r="L895" s="13"/>
      <c r="M895" s="13"/>
    </row>
    <row r="896" spans="1:13" ht="14.25" customHeight="1" x14ac:dyDescent="0.3">
      <c r="A896" s="13"/>
      <c r="B896" s="14"/>
      <c r="C896" s="14"/>
      <c r="D896" s="14"/>
      <c r="E896" s="13"/>
      <c r="F896" s="13"/>
      <c r="G896" s="13"/>
      <c r="H896" s="15"/>
      <c r="I896" s="15"/>
      <c r="J896" s="16"/>
      <c r="K896" s="13"/>
      <c r="L896" s="13"/>
      <c r="M896" s="13"/>
    </row>
    <row r="897" spans="1:13" ht="14.25" customHeight="1" x14ac:dyDescent="0.3">
      <c r="A897" s="13"/>
      <c r="B897" s="14"/>
      <c r="C897" s="14"/>
      <c r="D897" s="14"/>
      <c r="E897" s="13"/>
      <c r="F897" s="13"/>
      <c r="G897" s="13"/>
      <c r="H897" s="15"/>
      <c r="I897" s="15"/>
      <c r="J897" s="16"/>
      <c r="K897" s="13"/>
      <c r="L897" s="13"/>
      <c r="M897" s="13"/>
    </row>
    <row r="898" spans="1:13" ht="14.25" customHeight="1" x14ac:dyDescent="0.3">
      <c r="A898" s="13"/>
      <c r="B898" s="14"/>
      <c r="C898" s="14"/>
      <c r="D898" s="14"/>
      <c r="E898" s="13"/>
      <c r="F898" s="13"/>
      <c r="G898" s="13"/>
      <c r="H898" s="15"/>
      <c r="I898" s="15"/>
      <c r="J898" s="16"/>
      <c r="K898" s="13"/>
      <c r="L898" s="13"/>
      <c r="M898" s="13"/>
    </row>
    <row r="899" spans="1:13" ht="14.25" customHeight="1" x14ac:dyDescent="0.3">
      <c r="A899" s="13"/>
      <c r="B899" s="14"/>
      <c r="C899" s="14"/>
      <c r="D899" s="14"/>
      <c r="E899" s="13"/>
      <c r="F899" s="13"/>
      <c r="G899" s="13"/>
      <c r="H899" s="15"/>
      <c r="I899" s="15"/>
      <c r="J899" s="16"/>
      <c r="K899" s="13"/>
      <c r="L899" s="13"/>
      <c r="M899" s="13"/>
    </row>
    <row r="900" spans="1:13" ht="14.25" customHeight="1" x14ac:dyDescent="0.3">
      <c r="A900" s="13"/>
      <c r="B900" s="14"/>
      <c r="C900" s="14"/>
      <c r="D900" s="14"/>
      <c r="E900" s="13"/>
      <c r="F900" s="13"/>
      <c r="G900" s="13"/>
      <c r="H900" s="15"/>
      <c r="I900" s="15"/>
      <c r="J900" s="16"/>
      <c r="K900" s="13"/>
      <c r="L900" s="13"/>
      <c r="M900" s="13"/>
    </row>
    <row r="901" spans="1:13" ht="14.25" customHeight="1" x14ac:dyDescent="0.3">
      <c r="A901" s="13"/>
      <c r="B901" s="14"/>
      <c r="C901" s="14"/>
      <c r="D901" s="14"/>
      <c r="E901" s="13"/>
      <c r="F901" s="13"/>
      <c r="G901" s="13"/>
      <c r="H901" s="15"/>
      <c r="I901" s="15"/>
      <c r="J901" s="16"/>
      <c r="K901" s="13"/>
      <c r="L901" s="13"/>
      <c r="M901" s="13"/>
    </row>
    <row r="902" spans="1:13" ht="14.25" customHeight="1" x14ac:dyDescent="0.3">
      <c r="A902" s="13"/>
      <c r="B902" s="14"/>
      <c r="C902" s="14"/>
      <c r="D902" s="14"/>
      <c r="E902" s="13"/>
      <c r="F902" s="13"/>
      <c r="G902" s="13"/>
      <c r="H902" s="15"/>
      <c r="I902" s="15"/>
      <c r="J902" s="16"/>
      <c r="K902" s="13"/>
      <c r="L902" s="13"/>
      <c r="M902" s="13"/>
    </row>
    <row r="903" spans="1:13" ht="14.25" customHeight="1" x14ac:dyDescent="0.3">
      <c r="A903" s="13"/>
      <c r="B903" s="14"/>
      <c r="C903" s="14"/>
      <c r="D903" s="14"/>
      <c r="E903" s="13"/>
      <c r="F903" s="13"/>
      <c r="G903" s="13"/>
      <c r="H903" s="15"/>
      <c r="I903" s="15"/>
      <c r="J903" s="16"/>
      <c r="K903" s="13"/>
      <c r="L903" s="13"/>
      <c r="M903" s="13"/>
    </row>
    <row r="904" spans="1:13" ht="14.25" customHeight="1" x14ac:dyDescent="0.3">
      <c r="A904" s="13"/>
      <c r="B904" s="14"/>
      <c r="C904" s="14"/>
      <c r="D904" s="14"/>
      <c r="E904" s="13"/>
      <c r="F904" s="13"/>
      <c r="G904" s="13"/>
      <c r="H904" s="15"/>
      <c r="I904" s="15"/>
      <c r="J904" s="16"/>
      <c r="K904" s="13"/>
      <c r="L904" s="13"/>
      <c r="M904" s="13"/>
    </row>
    <row r="905" spans="1:13" ht="14.25" customHeight="1" x14ac:dyDescent="0.3">
      <c r="A905" s="13"/>
      <c r="B905" s="14"/>
      <c r="C905" s="14"/>
      <c r="D905" s="14"/>
      <c r="E905" s="13"/>
      <c r="F905" s="13"/>
      <c r="G905" s="13"/>
      <c r="H905" s="15"/>
      <c r="I905" s="15"/>
      <c r="J905" s="16"/>
      <c r="K905" s="13"/>
      <c r="L905" s="13"/>
      <c r="M905" s="13"/>
    </row>
    <row r="906" spans="1:13" ht="14.25" customHeight="1" x14ac:dyDescent="0.3">
      <c r="A906" s="13"/>
      <c r="B906" s="14"/>
      <c r="C906" s="14"/>
      <c r="D906" s="14"/>
      <c r="E906" s="13"/>
      <c r="F906" s="13"/>
      <c r="G906" s="13"/>
      <c r="H906" s="15"/>
      <c r="I906" s="15"/>
      <c r="J906" s="16"/>
      <c r="K906" s="13"/>
      <c r="L906" s="13"/>
      <c r="M906" s="13"/>
    </row>
    <row r="907" spans="1:13" ht="14.25" customHeight="1" x14ac:dyDescent="0.3">
      <c r="A907" s="13"/>
      <c r="B907" s="14"/>
      <c r="C907" s="14"/>
      <c r="D907" s="14"/>
      <c r="E907" s="13"/>
      <c r="F907" s="13"/>
      <c r="G907" s="13"/>
      <c r="H907" s="15"/>
      <c r="I907" s="15"/>
      <c r="J907" s="16"/>
      <c r="K907" s="13"/>
      <c r="L907" s="13"/>
      <c r="M907" s="13"/>
    </row>
    <row r="908" spans="1:13" ht="14.25" customHeight="1" x14ac:dyDescent="0.3">
      <c r="A908" s="13"/>
      <c r="B908" s="14"/>
      <c r="C908" s="14"/>
      <c r="D908" s="14"/>
      <c r="E908" s="13"/>
      <c r="F908" s="13"/>
      <c r="G908" s="13"/>
      <c r="H908" s="15"/>
      <c r="I908" s="15"/>
      <c r="J908" s="16"/>
      <c r="K908" s="13"/>
      <c r="L908" s="13"/>
      <c r="M908" s="13"/>
    </row>
    <row r="909" spans="1:13" ht="14.25" customHeight="1" x14ac:dyDescent="0.3">
      <c r="A909" s="13"/>
      <c r="B909" s="14"/>
      <c r="C909" s="14"/>
      <c r="D909" s="14"/>
      <c r="E909" s="13"/>
      <c r="F909" s="13"/>
      <c r="G909" s="13"/>
      <c r="H909" s="15"/>
      <c r="I909" s="15"/>
      <c r="J909" s="16"/>
      <c r="K909" s="13"/>
      <c r="L909" s="13"/>
      <c r="M909" s="13"/>
    </row>
    <row r="910" spans="1:13" ht="14.25" customHeight="1" x14ac:dyDescent="0.3">
      <c r="A910" s="13"/>
      <c r="B910" s="14"/>
      <c r="C910" s="14"/>
      <c r="D910" s="14"/>
      <c r="E910" s="13"/>
      <c r="F910" s="13"/>
      <c r="G910" s="13"/>
      <c r="H910" s="15"/>
      <c r="I910" s="15"/>
      <c r="J910" s="16"/>
      <c r="K910" s="13"/>
      <c r="L910" s="13"/>
      <c r="M910" s="13"/>
    </row>
    <row r="911" spans="1:13" ht="14.25" customHeight="1" x14ac:dyDescent="0.3">
      <c r="A911" s="13"/>
      <c r="B911" s="14"/>
      <c r="C911" s="14"/>
      <c r="D911" s="14"/>
      <c r="E911" s="13"/>
      <c r="F911" s="13"/>
      <c r="G911" s="13"/>
      <c r="H911" s="15"/>
      <c r="I911" s="15"/>
      <c r="J911" s="16"/>
      <c r="K911" s="13"/>
      <c r="L911" s="13"/>
      <c r="M911" s="13"/>
    </row>
    <row r="912" spans="1:13" ht="14.25" customHeight="1" x14ac:dyDescent="0.3">
      <c r="A912" s="13"/>
      <c r="B912" s="14"/>
      <c r="C912" s="14"/>
      <c r="D912" s="14"/>
      <c r="E912" s="13"/>
      <c r="F912" s="13"/>
      <c r="G912" s="13"/>
      <c r="H912" s="15"/>
      <c r="I912" s="15"/>
      <c r="J912" s="16"/>
      <c r="K912" s="13"/>
      <c r="L912" s="13"/>
      <c r="M912" s="13"/>
    </row>
    <row r="913" spans="1:13" ht="14.25" customHeight="1" x14ac:dyDescent="0.3">
      <c r="A913" s="13"/>
      <c r="B913" s="14"/>
      <c r="C913" s="14"/>
      <c r="D913" s="14"/>
      <c r="E913" s="13"/>
      <c r="F913" s="13"/>
      <c r="G913" s="13"/>
      <c r="H913" s="15"/>
      <c r="I913" s="15"/>
      <c r="J913" s="16"/>
      <c r="K913" s="13"/>
      <c r="L913" s="13"/>
      <c r="M913" s="13"/>
    </row>
    <row r="914" spans="1:13" ht="14.25" customHeight="1" x14ac:dyDescent="0.3">
      <c r="A914" s="13"/>
      <c r="B914" s="14"/>
      <c r="C914" s="14"/>
      <c r="D914" s="14"/>
      <c r="E914" s="13"/>
      <c r="F914" s="13"/>
      <c r="G914" s="13"/>
      <c r="H914" s="15"/>
      <c r="I914" s="15"/>
      <c r="J914" s="16"/>
      <c r="K914" s="13"/>
      <c r="L914" s="13"/>
      <c r="M914" s="13"/>
    </row>
    <row r="915" spans="1:13" ht="14.25" customHeight="1" x14ac:dyDescent="0.3">
      <c r="A915" s="13"/>
      <c r="B915" s="14"/>
      <c r="C915" s="14"/>
      <c r="D915" s="14"/>
      <c r="E915" s="13"/>
      <c r="F915" s="13"/>
      <c r="G915" s="13"/>
      <c r="H915" s="15"/>
      <c r="I915" s="15"/>
      <c r="J915" s="16"/>
      <c r="K915" s="13"/>
      <c r="L915" s="13"/>
      <c r="M915" s="13"/>
    </row>
    <row r="916" spans="1:13" ht="14.25" customHeight="1" x14ac:dyDescent="0.3">
      <c r="A916" s="13"/>
      <c r="B916" s="14"/>
      <c r="C916" s="14"/>
      <c r="D916" s="14"/>
      <c r="E916" s="13"/>
      <c r="F916" s="13"/>
      <c r="G916" s="13"/>
      <c r="H916" s="15"/>
      <c r="I916" s="15"/>
      <c r="J916" s="16"/>
      <c r="K916" s="13"/>
      <c r="L916" s="13"/>
      <c r="M916" s="13"/>
    </row>
    <row r="917" spans="1:13" ht="14.25" customHeight="1" x14ac:dyDescent="0.3">
      <c r="A917" s="13"/>
      <c r="B917" s="14"/>
      <c r="C917" s="14"/>
      <c r="D917" s="14"/>
      <c r="E917" s="13"/>
      <c r="F917" s="13"/>
      <c r="G917" s="13"/>
      <c r="H917" s="15"/>
      <c r="I917" s="15"/>
      <c r="J917" s="16"/>
      <c r="K917" s="13"/>
      <c r="L917" s="13"/>
      <c r="M917" s="13"/>
    </row>
    <row r="918" spans="1:13" ht="14.25" customHeight="1" x14ac:dyDescent="0.3">
      <c r="A918" s="13"/>
      <c r="B918" s="14"/>
      <c r="C918" s="14"/>
      <c r="D918" s="14"/>
      <c r="E918" s="13"/>
      <c r="F918" s="13"/>
      <c r="G918" s="13"/>
      <c r="H918" s="15"/>
      <c r="I918" s="15"/>
      <c r="J918" s="16"/>
      <c r="K918" s="13"/>
      <c r="L918" s="13"/>
      <c r="M918" s="13"/>
    </row>
    <row r="919" spans="1:13" ht="14.25" customHeight="1" x14ac:dyDescent="0.3">
      <c r="A919" s="13"/>
      <c r="B919" s="14"/>
      <c r="C919" s="14"/>
      <c r="D919" s="14"/>
      <c r="E919" s="13"/>
      <c r="F919" s="13"/>
      <c r="G919" s="13"/>
      <c r="H919" s="15"/>
      <c r="I919" s="15"/>
      <c r="J919" s="16"/>
      <c r="K919" s="13"/>
      <c r="L919" s="13"/>
      <c r="M919" s="13"/>
    </row>
    <row r="920" spans="1:13" ht="14.25" customHeight="1" x14ac:dyDescent="0.3">
      <c r="A920" s="13"/>
      <c r="B920" s="14"/>
      <c r="C920" s="14"/>
      <c r="D920" s="14"/>
      <c r="E920" s="13"/>
      <c r="F920" s="13"/>
      <c r="G920" s="13"/>
      <c r="H920" s="15"/>
      <c r="I920" s="15"/>
      <c r="J920" s="16"/>
      <c r="K920" s="13"/>
      <c r="L920" s="13"/>
      <c r="M920" s="13"/>
    </row>
    <row r="921" spans="1:13" ht="14.25" customHeight="1" x14ac:dyDescent="0.3">
      <c r="A921" s="13"/>
      <c r="B921" s="14"/>
      <c r="C921" s="14"/>
      <c r="D921" s="14"/>
      <c r="E921" s="13"/>
      <c r="F921" s="13"/>
      <c r="G921" s="13"/>
      <c r="H921" s="15"/>
      <c r="I921" s="15"/>
      <c r="J921" s="16"/>
      <c r="K921" s="13"/>
      <c r="L921" s="13"/>
      <c r="M921" s="13"/>
    </row>
    <row r="922" spans="1:13" ht="14.25" customHeight="1" x14ac:dyDescent="0.3">
      <c r="A922" s="13"/>
      <c r="B922" s="14"/>
      <c r="C922" s="14"/>
      <c r="D922" s="14"/>
      <c r="E922" s="13"/>
      <c r="F922" s="13"/>
      <c r="G922" s="13"/>
      <c r="H922" s="15"/>
      <c r="I922" s="15"/>
      <c r="J922" s="16"/>
      <c r="K922" s="13"/>
      <c r="L922" s="13"/>
      <c r="M922" s="13"/>
    </row>
    <row r="923" spans="1:13" ht="14.25" customHeight="1" x14ac:dyDescent="0.3">
      <c r="A923" s="13"/>
      <c r="B923" s="14"/>
      <c r="C923" s="14"/>
      <c r="D923" s="14"/>
      <c r="E923" s="13"/>
      <c r="F923" s="13"/>
      <c r="G923" s="13"/>
      <c r="H923" s="15"/>
      <c r="I923" s="15"/>
      <c r="J923" s="16"/>
      <c r="K923" s="13"/>
      <c r="L923" s="13"/>
      <c r="M923" s="13"/>
    </row>
    <row r="924" spans="1:13" ht="14.25" customHeight="1" x14ac:dyDescent="0.3">
      <c r="A924" s="13"/>
      <c r="B924" s="14"/>
      <c r="C924" s="14"/>
      <c r="D924" s="14"/>
      <c r="E924" s="13"/>
      <c r="F924" s="13"/>
      <c r="G924" s="13"/>
      <c r="H924" s="15"/>
      <c r="I924" s="15"/>
      <c r="J924" s="16"/>
      <c r="K924" s="13"/>
      <c r="L924" s="13"/>
      <c r="M924" s="13"/>
    </row>
    <row r="925" spans="1:13" ht="14.25" customHeight="1" x14ac:dyDescent="0.3">
      <c r="A925" s="13"/>
      <c r="B925" s="14"/>
      <c r="C925" s="14"/>
      <c r="D925" s="14"/>
      <c r="E925" s="13"/>
      <c r="F925" s="13"/>
      <c r="G925" s="13"/>
      <c r="H925" s="15"/>
      <c r="I925" s="15"/>
      <c r="J925" s="16"/>
      <c r="K925" s="13"/>
      <c r="L925" s="13"/>
      <c r="M925" s="13"/>
    </row>
    <row r="926" spans="1:13" ht="14.25" customHeight="1" x14ac:dyDescent="0.3">
      <c r="A926" s="13"/>
      <c r="B926" s="14"/>
      <c r="C926" s="14"/>
      <c r="D926" s="14"/>
      <c r="E926" s="13"/>
      <c r="F926" s="13"/>
      <c r="G926" s="13"/>
      <c r="H926" s="15"/>
      <c r="I926" s="15"/>
      <c r="J926" s="16"/>
      <c r="K926" s="13"/>
      <c r="L926" s="13"/>
      <c r="M926" s="13"/>
    </row>
    <row r="927" spans="1:13" ht="14.25" customHeight="1" x14ac:dyDescent="0.3">
      <c r="A927" s="13"/>
      <c r="B927" s="14"/>
      <c r="C927" s="14"/>
      <c r="D927" s="14"/>
      <c r="E927" s="13"/>
      <c r="F927" s="13"/>
      <c r="G927" s="13"/>
      <c r="H927" s="15"/>
      <c r="I927" s="15"/>
      <c r="J927" s="16"/>
      <c r="K927" s="13"/>
      <c r="L927" s="13"/>
      <c r="M927" s="13"/>
    </row>
    <row r="928" spans="1:13" ht="14.25" customHeight="1" x14ac:dyDescent="0.3">
      <c r="A928" s="13"/>
      <c r="B928" s="14"/>
      <c r="C928" s="14"/>
      <c r="D928" s="14"/>
      <c r="E928" s="13"/>
      <c r="F928" s="13"/>
      <c r="G928" s="13"/>
      <c r="H928" s="15"/>
      <c r="I928" s="15"/>
      <c r="J928" s="16"/>
      <c r="K928" s="13"/>
      <c r="L928" s="13"/>
      <c r="M928" s="13"/>
    </row>
    <row r="929" spans="1:13" ht="14.25" customHeight="1" x14ac:dyDescent="0.3">
      <c r="A929" s="13"/>
      <c r="B929" s="14"/>
      <c r="C929" s="14"/>
      <c r="D929" s="14"/>
      <c r="E929" s="13"/>
      <c r="F929" s="13"/>
      <c r="G929" s="13"/>
      <c r="H929" s="15"/>
      <c r="I929" s="15"/>
      <c r="J929" s="16"/>
      <c r="K929" s="13"/>
      <c r="L929" s="13"/>
      <c r="M929" s="13"/>
    </row>
    <row r="930" spans="1:13" ht="14.25" customHeight="1" x14ac:dyDescent="0.3">
      <c r="A930" s="13"/>
      <c r="B930" s="14"/>
      <c r="C930" s="14"/>
      <c r="D930" s="14"/>
      <c r="E930" s="13"/>
      <c r="F930" s="13"/>
      <c r="G930" s="13"/>
      <c r="H930" s="15"/>
      <c r="I930" s="15"/>
      <c r="J930" s="16"/>
      <c r="K930" s="13"/>
      <c r="L930" s="13"/>
      <c r="M930" s="13"/>
    </row>
    <row r="931" spans="1:13" ht="14.25" customHeight="1" x14ac:dyDescent="0.3">
      <c r="A931" s="13"/>
      <c r="B931" s="14"/>
      <c r="C931" s="14"/>
      <c r="D931" s="14"/>
      <c r="E931" s="13"/>
      <c r="F931" s="13"/>
      <c r="G931" s="13"/>
      <c r="H931" s="15"/>
      <c r="I931" s="15"/>
      <c r="J931" s="16"/>
      <c r="K931" s="13"/>
      <c r="L931" s="13"/>
      <c r="M931" s="13"/>
    </row>
    <row r="932" spans="1:13" ht="14.25" customHeight="1" x14ac:dyDescent="0.3">
      <c r="A932" s="13"/>
      <c r="B932" s="14"/>
      <c r="C932" s="14"/>
      <c r="D932" s="14"/>
      <c r="E932" s="13"/>
      <c r="F932" s="13"/>
      <c r="G932" s="13"/>
      <c r="H932" s="15"/>
      <c r="I932" s="15"/>
      <c r="J932" s="16"/>
      <c r="K932" s="13"/>
      <c r="L932" s="13"/>
      <c r="M932" s="13"/>
    </row>
    <row r="933" spans="1:13" ht="14.25" customHeight="1" x14ac:dyDescent="0.3">
      <c r="A933" s="13"/>
      <c r="B933" s="14"/>
      <c r="C933" s="14"/>
      <c r="D933" s="14"/>
      <c r="E933" s="13"/>
      <c r="F933" s="13"/>
      <c r="G933" s="13"/>
      <c r="H933" s="15"/>
      <c r="I933" s="15"/>
      <c r="J933" s="16"/>
      <c r="K933" s="13"/>
      <c r="L933" s="13"/>
      <c r="M933" s="13"/>
    </row>
    <row r="934" spans="1:13" ht="14.25" customHeight="1" x14ac:dyDescent="0.3">
      <c r="A934" s="13"/>
      <c r="B934" s="14"/>
      <c r="C934" s="14"/>
      <c r="D934" s="14"/>
      <c r="E934" s="13"/>
      <c r="F934" s="13"/>
      <c r="G934" s="13"/>
      <c r="H934" s="15"/>
      <c r="I934" s="15"/>
      <c r="J934" s="16"/>
      <c r="K934" s="13"/>
      <c r="L934" s="13"/>
      <c r="M934" s="13"/>
    </row>
    <row r="935" spans="1:13" ht="14.25" customHeight="1" x14ac:dyDescent="0.3">
      <c r="A935" s="13"/>
      <c r="B935" s="14"/>
      <c r="C935" s="14"/>
      <c r="D935" s="14"/>
      <c r="E935" s="13"/>
      <c r="F935" s="13"/>
      <c r="G935" s="13"/>
      <c r="H935" s="15"/>
      <c r="I935" s="15"/>
      <c r="J935" s="16"/>
      <c r="K935" s="13"/>
      <c r="L935" s="13"/>
      <c r="M935" s="13"/>
    </row>
    <row r="936" spans="1:13" ht="14.25" customHeight="1" x14ac:dyDescent="0.3">
      <c r="A936" s="13"/>
      <c r="B936" s="14"/>
      <c r="C936" s="14"/>
      <c r="D936" s="14"/>
      <c r="E936" s="13"/>
      <c r="F936" s="13"/>
      <c r="G936" s="13"/>
      <c r="H936" s="15"/>
      <c r="I936" s="15"/>
      <c r="J936" s="16"/>
      <c r="K936" s="13"/>
      <c r="L936" s="13"/>
      <c r="M936" s="13"/>
    </row>
    <row r="937" spans="1:13" ht="14.25" customHeight="1" x14ac:dyDescent="0.3">
      <c r="A937" s="13"/>
      <c r="B937" s="14"/>
      <c r="C937" s="14"/>
      <c r="D937" s="14"/>
      <c r="E937" s="13"/>
      <c r="F937" s="13"/>
      <c r="G937" s="13"/>
      <c r="H937" s="15"/>
      <c r="I937" s="15"/>
      <c r="J937" s="16"/>
      <c r="K937" s="13"/>
      <c r="L937" s="13"/>
      <c r="M937" s="13"/>
    </row>
    <row r="938" spans="1:13" ht="14.25" customHeight="1" x14ac:dyDescent="0.3">
      <c r="A938" s="13"/>
      <c r="B938" s="14"/>
      <c r="C938" s="14"/>
      <c r="D938" s="14"/>
      <c r="E938" s="13"/>
      <c r="F938" s="13"/>
      <c r="G938" s="13"/>
      <c r="H938" s="15"/>
      <c r="I938" s="15"/>
      <c r="J938" s="16"/>
      <c r="K938" s="13"/>
      <c r="L938" s="13"/>
      <c r="M938" s="13"/>
    </row>
    <row r="939" spans="1:13" ht="14.25" customHeight="1" x14ac:dyDescent="0.3">
      <c r="A939" s="13"/>
      <c r="B939" s="14"/>
      <c r="C939" s="14"/>
      <c r="D939" s="14"/>
      <c r="E939" s="13"/>
      <c r="F939" s="13"/>
      <c r="G939" s="13"/>
      <c r="H939" s="15"/>
      <c r="I939" s="15"/>
      <c r="J939" s="16"/>
      <c r="K939" s="13"/>
      <c r="L939" s="13"/>
      <c r="M939" s="13"/>
    </row>
    <row r="940" spans="1:13" ht="14.25" customHeight="1" x14ac:dyDescent="0.3">
      <c r="A940" s="13"/>
      <c r="B940" s="14"/>
      <c r="C940" s="14"/>
      <c r="D940" s="14"/>
      <c r="E940" s="13"/>
      <c r="F940" s="13"/>
      <c r="G940" s="13"/>
      <c r="H940" s="15"/>
      <c r="I940" s="15"/>
      <c r="J940" s="16"/>
      <c r="K940" s="13"/>
      <c r="L940" s="13"/>
      <c r="M940" s="13"/>
    </row>
    <row r="941" spans="1:13" ht="14.25" customHeight="1" x14ac:dyDescent="0.3">
      <c r="A941" s="13"/>
      <c r="B941" s="14"/>
      <c r="C941" s="14"/>
      <c r="D941" s="14"/>
      <c r="E941" s="13"/>
      <c r="F941" s="13"/>
      <c r="G941" s="13"/>
      <c r="H941" s="15"/>
      <c r="I941" s="15"/>
      <c r="J941" s="16"/>
      <c r="K941" s="13"/>
      <c r="L941" s="13"/>
      <c r="M941" s="13"/>
    </row>
    <row r="942" spans="1:13" ht="14.25" customHeight="1" x14ac:dyDescent="0.3">
      <c r="A942" s="13"/>
      <c r="B942" s="14"/>
      <c r="C942" s="14"/>
      <c r="D942" s="14"/>
      <c r="E942" s="13"/>
      <c r="F942" s="13"/>
      <c r="G942" s="13"/>
      <c r="H942" s="15"/>
      <c r="I942" s="15"/>
      <c r="J942" s="16"/>
      <c r="K942" s="13"/>
      <c r="L942" s="13"/>
      <c r="M942" s="13"/>
    </row>
    <row r="943" spans="1:13" ht="14.25" customHeight="1" x14ac:dyDescent="0.3">
      <c r="A943" s="13"/>
      <c r="B943" s="14"/>
      <c r="C943" s="14"/>
      <c r="D943" s="14"/>
      <c r="E943" s="13"/>
      <c r="F943" s="13"/>
      <c r="G943" s="13"/>
      <c r="H943" s="15"/>
      <c r="I943" s="15"/>
      <c r="J943" s="16"/>
      <c r="K943" s="13"/>
      <c r="L943" s="13"/>
      <c r="M943" s="13"/>
    </row>
    <row r="944" spans="1:13" ht="14.25" customHeight="1" x14ac:dyDescent="0.3">
      <c r="A944" s="13"/>
      <c r="B944" s="14"/>
      <c r="C944" s="14"/>
      <c r="D944" s="14"/>
      <c r="E944" s="13"/>
      <c r="F944" s="13"/>
      <c r="G944" s="13"/>
      <c r="H944" s="15"/>
      <c r="I944" s="15"/>
      <c r="J944" s="16"/>
      <c r="K944" s="13"/>
      <c r="L944" s="13"/>
      <c r="M944" s="13"/>
    </row>
    <row r="945" spans="1:13" ht="14.25" customHeight="1" x14ac:dyDescent="0.3">
      <c r="A945" s="13"/>
      <c r="B945" s="14"/>
      <c r="C945" s="14"/>
      <c r="D945" s="14"/>
      <c r="E945" s="13"/>
      <c r="F945" s="13"/>
      <c r="G945" s="13"/>
      <c r="H945" s="15"/>
      <c r="I945" s="15"/>
      <c r="J945" s="16"/>
      <c r="K945" s="13"/>
      <c r="L945" s="13"/>
      <c r="M945" s="13"/>
    </row>
    <row r="946" spans="1:13" ht="14.25" customHeight="1" x14ac:dyDescent="0.3">
      <c r="A946" s="13"/>
      <c r="B946" s="14"/>
      <c r="C946" s="14"/>
      <c r="D946" s="14"/>
      <c r="E946" s="13"/>
      <c r="F946" s="13"/>
      <c r="G946" s="13"/>
      <c r="H946" s="15"/>
      <c r="I946" s="15"/>
      <c r="J946" s="16"/>
      <c r="K946" s="13"/>
      <c r="L946" s="13"/>
      <c r="M946" s="13"/>
    </row>
    <row r="947" spans="1:13" ht="14.25" customHeight="1" x14ac:dyDescent="0.3">
      <c r="A947" s="13"/>
      <c r="B947" s="14"/>
      <c r="C947" s="14"/>
      <c r="D947" s="14"/>
      <c r="E947" s="13"/>
      <c r="F947" s="13"/>
      <c r="G947" s="13"/>
      <c r="H947" s="15"/>
      <c r="I947" s="15"/>
      <c r="J947" s="16"/>
      <c r="K947" s="13"/>
      <c r="L947" s="13"/>
      <c r="M947" s="13"/>
    </row>
    <row r="948" spans="1:13" ht="14.25" customHeight="1" x14ac:dyDescent="0.3">
      <c r="A948" s="13"/>
      <c r="B948" s="14"/>
      <c r="C948" s="14"/>
      <c r="D948" s="14"/>
      <c r="E948" s="13"/>
      <c r="F948" s="13"/>
      <c r="G948" s="13"/>
      <c r="H948" s="15"/>
      <c r="I948" s="15"/>
      <c r="J948" s="16"/>
      <c r="K948" s="13"/>
      <c r="L948" s="13"/>
      <c r="M948" s="13"/>
    </row>
    <row r="949" spans="1:13" ht="14.25" customHeight="1" x14ac:dyDescent="0.3">
      <c r="A949" s="13"/>
      <c r="B949" s="14"/>
      <c r="C949" s="14"/>
      <c r="D949" s="14"/>
      <c r="E949" s="13"/>
      <c r="F949" s="13"/>
      <c r="G949" s="13"/>
      <c r="H949" s="15"/>
      <c r="I949" s="15"/>
      <c r="J949" s="16"/>
      <c r="K949" s="13"/>
      <c r="L949" s="13"/>
      <c r="M949" s="13"/>
    </row>
    <row r="950" spans="1:13" ht="14.25" customHeight="1" x14ac:dyDescent="0.3">
      <c r="A950" s="13"/>
      <c r="B950" s="14"/>
      <c r="C950" s="14"/>
      <c r="D950" s="14"/>
      <c r="E950" s="13"/>
      <c r="F950" s="13"/>
      <c r="G950" s="13"/>
      <c r="H950" s="15"/>
      <c r="I950" s="15"/>
      <c r="J950" s="16"/>
      <c r="K950" s="13"/>
      <c r="L950" s="13"/>
      <c r="M950" s="13"/>
    </row>
    <row r="951" spans="1:13" ht="14.25" customHeight="1" x14ac:dyDescent="0.3">
      <c r="A951" s="13"/>
      <c r="B951" s="14"/>
      <c r="C951" s="14"/>
      <c r="D951" s="14"/>
      <c r="E951" s="13"/>
      <c r="F951" s="13"/>
      <c r="G951" s="13"/>
      <c r="H951" s="15"/>
      <c r="I951" s="15"/>
      <c r="J951" s="16"/>
      <c r="K951" s="13"/>
      <c r="L951" s="13"/>
      <c r="M951" s="13"/>
    </row>
    <row r="952" spans="1:13" ht="14.25" customHeight="1" x14ac:dyDescent="0.3">
      <c r="A952" s="13"/>
      <c r="B952" s="14"/>
      <c r="C952" s="14"/>
      <c r="D952" s="14"/>
      <c r="E952" s="13"/>
      <c r="F952" s="13"/>
      <c r="G952" s="13"/>
      <c r="H952" s="15"/>
      <c r="I952" s="15"/>
      <c r="J952" s="16"/>
      <c r="K952" s="13"/>
      <c r="L952" s="13"/>
      <c r="M952" s="13"/>
    </row>
    <row r="953" spans="1:13" ht="14.25" customHeight="1" x14ac:dyDescent="0.3">
      <c r="A953" s="13"/>
      <c r="B953" s="14"/>
      <c r="C953" s="14"/>
      <c r="D953" s="14"/>
      <c r="E953" s="13"/>
      <c r="F953" s="13"/>
      <c r="G953" s="13"/>
      <c r="H953" s="15"/>
      <c r="I953" s="15"/>
      <c r="J953" s="16"/>
      <c r="K953" s="13"/>
      <c r="L953" s="13"/>
      <c r="M953" s="13"/>
    </row>
    <row r="954" spans="1:13" ht="14.25" customHeight="1" x14ac:dyDescent="0.3">
      <c r="A954" s="13"/>
      <c r="B954" s="14"/>
      <c r="C954" s="14"/>
      <c r="D954" s="14"/>
      <c r="E954" s="13"/>
      <c r="F954" s="13"/>
      <c r="G954" s="13"/>
      <c r="H954" s="15"/>
      <c r="I954" s="15"/>
      <c r="J954" s="16"/>
      <c r="K954" s="13"/>
      <c r="L954" s="13"/>
      <c r="M954" s="13"/>
    </row>
    <row r="955" spans="1:13" ht="14.25" customHeight="1" x14ac:dyDescent="0.3">
      <c r="A955" s="13"/>
      <c r="B955" s="14"/>
      <c r="C955" s="14"/>
      <c r="D955" s="14"/>
      <c r="E955" s="13"/>
      <c r="F955" s="13"/>
      <c r="G955" s="13"/>
      <c r="H955" s="15"/>
      <c r="I955" s="15"/>
      <c r="J955" s="16"/>
      <c r="K955" s="13"/>
      <c r="L955" s="13"/>
      <c r="M955" s="13"/>
    </row>
    <row r="956" spans="1:13" ht="14.25" customHeight="1" x14ac:dyDescent="0.3">
      <c r="A956" s="13"/>
      <c r="B956" s="14"/>
      <c r="C956" s="14"/>
      <c r="D956" s="14"/>
      <c r="E956" s="13"/>
      <c r="F956" s="13"/>
      <c r="G956" s="13"/>
      <c r="H956" s="15"/>
      <c r="I956" s="15"/>
      <c r="J956" s="16"/>
      <c r="K956" s="13"/>
      <c r="L956" s="13"/>
      <c r="M956" s="13"/>
    </row>
    <row r="957" spans="1:13" ht="14.25" customHeight="1" x14ac:dyDescent="0.3">
      <c r="A957" s="13"/>
      <c r="B957" s="14"/>
      <c r="C957" s="14"/>
      <c r="D957" s="14"/>
      <c r="E957" s="13"/>
      <c r="F957" s="13"/>
      <c r="G957" s="13"/>
      <c r="H957" s="15"/>
      <c r="I957" s="15"/>
      <c r="J957" s="16"/>
      <c r="K957" s="13"/>
      <c r="L957" s="13"/>
      <c r="M957" s="13"/>
    </row>
    <row r="958" spans="1:13" ht="14.25" customHeight="1" x14ac:dyDescent="0.3">
      <c r="A958" s="13"/>
      <c r="B958" s="14"/>
      <c r="C958" s="14"/>
      <c r="D958" s="14"/>
      <c r="E958" s="13"/>
      <c r="F958" s="13"/>
      <c r="G958" s="13"/>
      <c r="H958" s="15"/>
      <c r="I958" s="15"/>
      <c r="J958" s="16"/>
      <c r="K958" s="13"/>
      <c r="L958" s="13"/>
      <c r="M958" s="13"/>
    </row>
    <row r="959" spans="1:13" ht="14.25" customHeight="1" x14ac:dyDescent="0.3">
      <c r="A959" s="13"/>
      <c r="B959" s="14"/>
      <c r="C959" s="14"/>
      <c r="D959" s="14"/>
      <c r="E959" s="13"/>
      <c r="F959" s="13"/>
      <c r="G959" s="13"/>
      <c r="H959" s="15"/>
      <c r="I959" s="15"/>
      <c r="J959" s="16"/>
      <c r="K959" s="13"/>
      <c r="L959" s="13"/>
      <c r="M959" s="13"/>
    </row>
    <row r="960" spans="1:13" ht="14.25" customHeight="1" x14ac:dyDescent="0.3">
      <c r="A960" s="13"/>
      <c r="B960" s="14"/>
      <c r="C960" s="14"/>
      <c r="D960" s="14"/>
      <c r="E960" s="13"/>
      <c r="F960" s="13"/>
      <c r="G960" s="13"/>
      <c r="H960" s="15"/>
      <c r="I960" s="15"/>
      <c r="J960" s="16"/>
      <c r="K960" s="13"/>
      <c r="L960" s="13"/>
      <c r="M960" s="13"/>
    </row>
    <row r="961" spans="1:13" ht="14.25" customHeight="1" x14ac:dyDescent="0.3">
      <c r="A961" s="13"/>
      <c r="B961" s="14"/>
      <c r="C961" s="14"/>
      <c r="D961" s="14"/>
      <c r="E961" s="13"/>
      <c r="F961" s="13"/>
      <c r="G961" s="13"/>
      <c r="H961" s="15"/>
      <c r="I961" s="15"/>
      <c r="J961" s="16"/>
      <c r="K961" s="13"/>
      <c r="L961" s="13"/>
      <c r="M961" s="13"/>
    </row>
    <row r="962" spans="1:13" ht="14.25" customHeight="1" x14ac:dyDescent="0.3">
      <c r="A962" s="13"/>
      <c r="B962" s="14"/>
      <c r="C962" s="14"/>
      <c r="D962" s="14"/>
      <c r="E962" s="13"/>
      <c r="F962" s="13"/>
      <c r="G962" s="13"/>
      <c r="H962" s="15"/>
      <c r="I962" s="15"/>
      <c r="J962" s="16"/>
      <c r="K962" s="13"/>
      <c r="L962" s="13"/>
      <c r="M962" s="13"/>
    </row>
    <row r="963" spans="1:13" ht="14.25" customHeight="1" x14ac:dyDescent="0.3">
      <c r="A963" s="13"/>
      <c r="B963" s="14"/>
      <c r="C963" s="14"/>
      <c r="D963" s="14"/>
      <c r="E963" s="13"/>
      <c r="F963" s="13"/>
      <c r="G963" s="13"/>
      <c r="H963" s="15"/>
      <c r="I963" s="15"/>
      <c r="J963" s="16"/>
      <c r="K963" s="13"/>
      <c r="L963" s="13"/>
      <c r="M963" s="13"/>
    </row>
    <row r="964" spans="1:13" ht="14.25" customHeight="1" x14ac:dyDescent="0.3">
      <c r="A964" s="13"/>
      <c r="B964" s="14"/>
      <c r="C964" s="14"/>
      <c r="D964" s="14"/>
      <c r="E964" s="13"/>
      <c r="F964" s="13"/>
      <c r="G964" s="13"/>
      <c r="H964" s="15"/>
      <c r="I964" s="15"/>
      <c r="J964" s="16"/>
      <c r="K964" s="13"/>
      <c r="L964" s="13"/>
      <c r="M964" s="13"/>
    </row>
    <row r="965" spans="1:13" ht="14.25" customHeight="1" x14ac:dyDescent="0.3">
      <c r="A965" s="13"/>
      <c r="B965" s="14"/>
      <c r="C965" s="14"/>
      <c r="D965" s="14"/>
      <c r="E965" s="13"/>
      <c r="F965" s="13"/>
      <c r="G965" s="13"/>
      <c r="H965" s="15"/>
      <c r="I965" s="15"/>
      <c r="J965" s="16"/>
      <c r="K965" s="13"/>
      <c r="L965" s="13"/>
      <c r="M965" s="13"/>
    </row>
    <row r="966" spans="1:13" ht="14.25" customHeight="1" x14ac:dyDescent="0.3">
      <c r="A966" s="13"/>
      <c r="B966" s="14"/>
      <c r="C966" s="14"/>
      <c r="D966" s="14"/>
      <c r="E966" s="13"/>
      <c r="F966" s="13"/>
      <c r="G966" s="13"/>
      <c r="H966" s="15"/>
      <c r="I966" s="15"/>
      <c r="J966" s="16"/>
      <c r="K966" s="13"/>
      <c r="L966" s="13"/>
      <c r="M966" s="13"/>
    </row>
    <row r="967" spans="1:13" ht="14.25" customHeight="1" x14ac:dyDescent="0.3">
      <c r="A967" s="13"/>
      <c r="B967" s="14"/>
      <c r="C967" s="14"/>
      <c r="D967" s="14"/>
      <c r="E967" s="13"/>
      <c r="F967" s="13"/>
      <c r="G967" s="13"/>
      <c r="H967" s="15"/>
      <c r="I967" s="15"/>
      <c r="J967" s="16"/>
      <c r="K967" s="13"/>
      <c r="L967" s="13"/>
      <c r="M967" s="13"/>
    </row>
    <row r="968" spans="1:13" ht="14.25" customHeight="1" x14ac:dyDescent="0.3">
      <c r="A968" s="13"/>
      <c r="B968" s="14"/>
      <c r="C968" s="14"/>
      <c r="D968" s="14"/>
      <c r="E968" s="13"/>
      <c r="F968" s="13"/>
      <c r="G968" s="13"/>
      <c r="H968" s="15"/>
      <c r="I968" s="15"/>
      <c r="J968" s="16"/>
      <c r="K968" s="13"/>
      <c r="L968" s="13"/>
      <c r="M968" s="13"/>
    </row>
    <row r="969" spans="1:13" ht="14.25" customHeight="1" x14ac:dyDescent="0.3">
      <c r="A969" s="13"/>
      <c r="B969" s="14"/>
      <c r="C969" s="14"/>
      <c r="D969" s="14"/>
      <c r="E969" s="13"/>
      <c r="F969" s="13"/>
      <c r="G969" s="13"/>
      <c r="H969" s="15"/>
      <c r="I969" s="15"/>
      <c r="J969" s="16"/>
      <c r="K969" s="13"/>
      <c r="L969" s="13"/>
      <c r="M969" s="13"/>
    </row>
    <row r="970" spans="1:13" ht="14.25" customHeight="1" x14ac:dyDescent="0.3">
      <c r="A970" s="13"/>
      <c r="B970" s="14"/>
      <c r="C970" s="14"/>
      <c r="D970" s="14"/>
      <c r="E970" s="13"/>
      <c r="F970" s="13"/>
      <c r="G970" s="13"/>
      <c r="H970" s="15"/>
      <c r="I970" s="15"/>
      <c r="J970" s="16"/>
      <c r="K970" s="13"/>
      <c r="L970" s="13"/>
      <c r="M970" s="13"/>
    </row>
    <row r="971" spans="1:13" ht="14.25" customHeight="1" x14ac:dyDescent="0.3">
      <c r="A971" s="13"/>
      <c r="B971" s="14"/>
      <c r="C971" s="14"/>
      <c r="D971" s="14"/>
      <c r="E971" s="13"/>
      <c r="F971" s="13"/>
      <c r="G971" s="13"/>
      <c r="H971" s="15"/>
      <c r="I971" s="15"/>
      <c r="J971" s="16"/>
      <c r="K971" s="13"/>
      <c r="L971" s="13"/>
      <c r="M971" s="13"/>
    </row>
    <row r="972" spans="1:13" ht="14.25" customHeight="1" x14ac:dyDescent="0.3">
      <c r="A972" s="13"/>
      <c r="B972" s="14"/>
      <c r="C972" s="14"/>
      <c r="D972" s="14"/>
      <c r="E972" s="13"/>
      <c r="F972" s="13"/>
      <c r="G972" s="13"/>
      <c r="H972" s="15"/>
      <c r="I972" s="15"/>
      <c r="J972" s="16"/>
      <c r="K972" s="13"/>
      <c r="L972" s="13"/>
      <c r="M972" s="13"/>
    </row>
    <row r="973" spans="1:13" ht="14.25" customHeight="1" x14ac:dyDescent="0.3">
      <c r="A973" s="13"/>
      <c r="B973" s="14"/>
      <c r="C973" s="14"/>
      <c r="D973" s="14"/>
      <c r="E973" s="13"/>
      <c r="F973" s="13"/>
      <c r="G973" s="13"/>
      <c r="H973" s="15"/>
      <c r="I973" s="15"/>
      <c r="J973" s="16"/>
      <c r="K973" s="13"/>
      <c r="L973" s="13"/>
      <c r="M973" s="13"/>
    </row>
    <row r="974" spans="1:13" ht="14.25" customHeight="1" x14ac:dyDescent="0.3">
      <c r="A974" s="13"/>
      <c r="B974" s="14"/>
      <c r="C974" s="14"/>
      <c r="D974" s="14"/>
      <c r="E974" s="13"/>
      <c r="F974" s="13"/>
      <c r="G974" s="13"/>
      <c r="H974" s="15"/>
      <c r="I974" s="15"/>
      <c r="J974" s="16"/>
      <c r="K974" s="13"/>
      <c r="L974" s="13"/>
      <c r="M974" s="13"/>
    </row>
    <row r="975" spans="1:13" ht="14.25" customHeight="1" x14ac:dyDescent="0.3">
      <c r="A975" s="13"/>
      <c r="B975" s="14"/>
      <c r="C975" s="14"/>
      <c r="D975" s="14"/>
      <c r="E975" s="13"/>
      <c r="F975" s="13"/>
      <c r="G975" s="13"/>
      <c r="H975" s="15"/>
      <c r="I975" s="15"/>
      <c r="J975" s="16"/>
      <c r="K975" s="13"/>
      <c r="L975" s="13"/>
      <c r="M975" s="13"/>
    </row>
    <row r="976" spans="1:13" ht="14.25" customHeight="1" x14ac:dyDescent="0.3">
      <c r="A976" s="13"/>
      <c r="B976" s="14"/>
      <c r="C976" s="14"/>
      <c r="D976" s="14"/>
      <c r="E976" s="13"/>
      <c r="F976" s="13"/>
      <c r="G976" s="13"/>
      <c r="H976" s="15"/>
      <c r="I976" s="15"/>
      <c r="J976" s="16"/>
      <c r="K976" s="13"/>
      <c r="L976" s="13"/>
      <c r="M976" s="13"/>
    </row>
    <row r="977" spans="1:13" ht="14.25" customHeight="1" x14ac:dyDescent="0.3">
      <c r="A977" s="13"/>
      <c r="B977" s="14"/>
      <c r="C977" s="14"/>
      <c r="D977" s="14"/>
      <c r="E977" s="13"/>
      <c r="F977" s="13"/>
      <c r="G977" s="13"/>
      <c r="H977" s="15"/>
      <c r="I977" s="15"/>
      <c r="J977" s="16"/>
      <c r="K977" s="13"/>
      <c r="L977" s="13"/>
      <c r="M977" s="13"/>
    </row>
    <row r="978" spans="1:13" ht="14.25" customHeight="1" x14ac:dyDescent="0.3">
      <c r="A978" s="13"/>
      <c r="B978" s="14"/>
      <c r="C978" s="14"/>
      <c r="D978" s="14"/>
      <c r="E978" s="13"/>
      <c r="F978" s="13"/>
      <c r="G978" s="13"/>
      <c r="H978" s="15"/>
      <c r="I978" s="15"/>
      <c r="J978" s="16"/>
      <c r="K978" s="13"/>
      <c r="L978" s="13"/>
      <c r="M978" s="13"/>
    </row>
    <row r="979" spans="1:13" ht="14.25" customHeight="1" x14ac:dyDescent="0.3">
      <c r="A979" s="13"/>
      <c r="B979" s="14"/>
      <c r="C979" s="14"/>
      <c r="D979" s="14"/>
      <c r="E979" s="13"/>
      <c r="F979" s="13"/>
      <c r="G979" s="13"/>
      <c r="H979" s="15"/>
      <c r="I979" s="15"/>
      <c r="J979" s="16"/>
      <c r="K979" s="13"/>
      <c r="L979" s="13"/>
      <c r="M979" s="13"/>
    </row>
    <row r="980" spans="1:13" ht="14.25" customHeight="1" x14ac:dyDescent="0.3">
      <c r="A980" s="13"/>
      <c r="B980" s="14"/>
      <c r="C980" s="14"/>
      <c r="D980" s="14"/>
      <c r="E980" s="13"/>
      <c r="F980" s="13"/>
      <c r="G980" s="13"/>
      <c r="H980" s="15"/>
      <c r="I980" s="15"/>
      <c r="J980" s="16"/>
      <c r="K980" s="13"/>
      <c r="L980" s="13"/>
      <c r="M980" s="13"/>
    </row>
    <row r="981" spans="1:13" ht="14.25" customHeight="1" x14ac:dyDescent="0.3">
      <c r="A981" s="13"/>
      <c r="B981" s="14"/>
      <c r="C981" s="14"/>
      <c r="D981" s="14"/>
      <c r="E981" s="13"/>
      <c r="F981" s="13"/>
      <c r="G981" s="13"/>
      <c r="H981" s="15"/>
      <c r="I981" s="15"/>
      <c r="J981" s="16"/>
      <c r="K981" s="13"/>
      <c r="L981" s="13"/>
      <c r="M981" s="13"/>
    </row>
    <row r="982" spans="1:13" ht="14.25" customHeight="1" x14ac:dyDescent="0.3">
      <c r="A982" s="13"/>
      <c r="B982" s="14"/>
      <c r="C982" s="14"/>
      <c r="D982" s="14"/>
      <c r="E982" s="13"/>
      <c r="F982" s="13"/>
      <c r="G982" s="13"/>
      <c r="H982" s="15"/>
      <c r="I982" s="15"/>
      <c r="J982" s="16"/>
      <c r="K982" s="13"/>
      <c r="L982" s="13"/>
      <c r="M982" s="13"/>
    </row>
    <row r="983" spans="1:13" ht="14.25" customHeight="1" x14ac:dyDescent="0.3">
      <c r="A983" s="13"/>
      <c r="B983" s="14"/>
      <c r="C983" s="14"/>
      <c r="D983" s="14"/>
      <c r="E983" s="13"/>
      <c r="F983" s="13"/>
      <c r="G983" s="13"/>
      <c r="H983" s="15"/>
      <c r="I983" s="15"/>
      <c r="J983" s="16"/>
      <c r="K983" s="13"/>
      <c r="L983" s="13"/>
      <c r="M983" s="13"/>
    </row>
    <row r="984" spans="1:13" ht="14.25" customHeight="1" x14ac:dyDescent="0.3">
      <c r="A984" s="13"/>
      <c r="B984" s="14"/>
      <c r="C984" s="14"/>
      <c r="D984" s="14"/>
      <c r="E984" s="13"/>
      <c r="F984" s="13"/>
      <c r="G984" s="13"/>
      <c r="H984" s="15"/>
      <c r="I984" s="15"/>
      <c r="J984" s="16"/>
      <c r="K984" s="13"/>
      <c r="L984" s="13"/>
      <c r="M984" s="13"/>
    </row>
    <row r="985" spans="1:13" ht="14.25" customHeight="1" x14ac:dyDescent="0.3">
      <c r="A985" s="13"/>
      <c r="B985" s="14"/>
      <c r="C985" s="14"/>
      <c r="D985" s="14"/>
      <c r="E985" s="13"/>
      <c r="F985" s="13"/>
      <c r="G985" s="13"/>
      <c r="H985" s="15"/>
      <c r="I985" s="15"/>
      <c r="J985" s="16"/>
      <c r="K985" s="13"/>
      <c r="L985" s="13"/>
      <c r="M985" s="13"/>
    </row>
    <row r="986" spans="1:13" ht="14.25" customHeight="1" x14ac:dyDescent="0.3">
      <c r="A986" s="13"/>
      <c r="B986" s="14"/>
      <c r="C986" s="14"/>
      <c r="D986" s="14"/>
      <c r="E986" s="13"/>
      <c r="F986" s="13"/>
      <c r="G986" s="13"/>
      <c r="H986" s="15"/>
      <c r="I986" s="15"/>
      <c r="J986" s="16"/>
      <c r="K986" s="13"/>
      <c r="L986" s="13"/>
      <c r="M986" s="13"/>
    </row>
    <row r="987" spans="1:13" ht="14.25" customHeight="1" x14ac:dyDescent="0.3">
      <c r="A987" s="13"/>
      <c r="B987" s="14"/>
      <c r="C987" s="14"/>
      <c r="D987" s="14"/>
      <c r="E987" s="13"/>
      <c r="F987" s="13"/>
      <c r="G987" s="13"/>
      <c r="H987" s="15"/>
      <c r="I987" s="15"/>
      <c r="J987" s="16"/>
      <c r="K987" s="13"/>
      <c r="L987" s="13"/>
      <c r="M987" s="13"/>
    </row>
    <row r="988" spans="1:13" ht="14.25" customHeight="1" x14ac:dyDescent="0.3">
      <c r="A988" s="13"/>
      <c r="B988" s="14"/>
      <c r="C988" s="14"/>
      <c r="D988" s="14"/>
      <c r="E988" s="13"/>
      <c r="F988" s="13"/>
      <c r="G988" s="13"/>
      <c r="H988" s="15"/>
      <c r="I988" s="15"/>
      <c r="J988" s="16"/>
      <c r="K988" s="13"/>
      <c r="L988" s="13"/>
      <c r="M988" s="13"/>
    </row>
    <row r="989" spans="1:13" ht="14.25" customHeight="1" x14ac:dyDescent="0.3">
      <c r="A989" s="13"/>
      <c r="B989" s="14"/>
      <c r="C989" s="14"/>
      <c r="D989" s="14"/>
      <c r="E989" s="13"/>
      <c r="F989" s="13"/>
      <c r="G989" s="13"/>
      <c r="H989" s="15"/>
      <c r="I989" s="15"/>
      <c r="J989" s="16"/>
      <c r="K989" s="13"/>
      <c r="L989" s="13"/>
      <c r="M989" s="13"/>
    </row>
    <row r="990" spans="1:13" ht="14.25" customHeight="1" x14ac:dyDescent="0.3">
      <c r="A990" s="13"/>
      <c r="B990" s="14"/>
      <c r="C990" s="14"/>
      <c r="D990" s="14"/>
      <c r="E990" s="13"/>
      <c r="F990" s="13"/>
      <c r="G990" s="13"/>
      <c r="H990" s="15"/>
      <c r="I990" s="15"/>
      <c r="J990" s="16"/>
      <c r="K990" s="13"/>
      <c r="L990" s="13"/>
      <c r="M990" s="13"/>
    </row>
    <row r="991" spans="1:13" ht="14.25" customHeight="1" x14ac:dyDescent="0.3">
      <c r="A991" s="13"/>
      <c r="B991" s="14"/>
      <c r="C991" s="14"/>
      <c r="D991" s="14"/>
      <c r="E991" s="13"/>
      <c r="F991" s="13"/>
      <c r="G991" s="13"/>
      <c r="H991" s="15"/>
      <c r="I991" s="15"/>
      <c r="J991" s="16"/>
      <c r="K991" s="13"/>
      <c r="L991" s="13"/>
      <c r="M991" s="13"/>
    </row>
    <row r="992" spans="1:13" ht="14.25" customHeight="1" x14ac:dyDescent="0.3">
      <c r="A992" s="13"/>
      <c r="B992" s="14"/>
      <c r="C992" s="14"/>
      <c r="D992" s="14"/>
      <c r="E992" s="13"/>
      <c r="F992" s="13"/>
      <c r="G992" s="13"/>
      <c r="H992" s="15"/>
      <c r="I992" s="15"/>
      <c r="J992" s="16"/>
      <c r="K992" s="13"/>
      <c r="L992" s="13"/>
      <c r="M992" s="13"/>
    </row>
    <row r="993" spans="1:13" ht="14.25" customHeight="1" x14ac:dyDescent="0.3">
      <c r="A993" s="13"/>
      <c r="B993" s="14"/>
      <c r="C993" s="14"/>
      <c r="D993" s="14"/>
      <c r="E993" s="13"/>
      <c r="F993" s="13"/>
      <c r="G993" s="13"/>
      <c r="H993" s="15"/>
      <c r="I993" s="15"/>
      <c r="J993" s="16"/>
      <c r="K993" s="13"/>
      <c r="L993" s="13"/>
      <c r="M993" s="13"/>
    </row>
    <row r="994" spans="1:13" ht="14.25" customHeight="1" x14ac:dyDescent="0.3">
      <c r="A994" s="13"/>
      <c r="B994" s="14"/>
      <c r="C994" s="14"/>
      <c r="D994" s="14"/>
      <c r="E994" s="13"/>
      <c r="F994" s="13"/>
      <c r="G994" s="13"/>
      <c r="H994" s="15"/>
      <c r="I994" s="15"/>
      <c r="J994" s="16"/>
      <c r="K994" s="13"/>
      <c r="L994" s="13"/>
      <c r="M994" s="13"/>
    </row>
    <row r="995" spans="1:13" ht="14.25" customHeight="1" x14ac:dyDescent="0.3">
      <c r="A995" s="13"/>
      <c r="B995" s="14"/>
      <c r="C995" s="14"/>
      <c r="D995" s="14"/>
      <c r="E995" s="13"/>
      <c r="F995" s="13"/>
      <c r="G995" s="13"/>
      <c r="H995" s="15"/>
      <c r="I995" s="15"/>
      <c r="J995" s="16"/>
      <c r="K995" s="13"/>
      <c r="L995" s="13"/>
      <c r="M995" s="13"/>
    </row>
    <row r="996" spans="1:13" ht="14.25" customHeight="1" x14ac:dyDescent="0.3">
      <c r="A996" s="13"/>
      <c r="B996" s="14"/>
      <c r="C996" s="14"/>
      <c r="D996" s="14"/>
      <c r="E996" s="13"/>
      <c r="F996" s="13"/>
      <c r="G996" s="13"/>
      <c r="H996" s="15"/>
      <c r="I996" s="15"/>
      <c r="J996" s="16"/>
      <c r="K996" s="13"/>
      <c r="L996" s="13"/>
      <c r="M996" s="13"/>
    </row>
    <row r="997" spans="1:13" ht="14.25" customHeight="1" x14ac:dyDescent="0.3">
      <c r="A997" s="13"/>
      <c r="B997" s="14"/>
      <c r="C997" s="14"/>
      <c r="D997" s="14"/>
      <c r="E997" s="13"/>
      <c r="F997" s="13"/>
      <c r="G997" s="13"/>
      <c r="H997" s="15"/>
      <c r="I997" s="15"/>
      <c r="J997" s="16"/>
      <c r="K997" s="13"/>
      <c r="L997" s="13"/>
      <c r="M997" s="13"/>
    </row>
    <row r="998" spans="1:13" ht="14.25" customHeight="1" x14ac:dyDescent="0.3">
      <c r="A998" s="13"/>
      <c r="B998" s="14"/>
      <c r="C998" s="14"/>
      <c r="D998" s="14"/>
      <c r="E998" s="13"/>
      <c r="F998" s="13"/>
      <c r="G998" s="13"/>
      <c r="H998" s="15"/>
      <c r="I998" s="15"/>
      <c r="J998" s="16"/>
      <c r="K998" s="13"/>
      <c r="L998" s="13"/>
      <c r="M998" s="13"/>
    </row>
    <row r="999" spans="1:13" ht="14.25" customHeight="1" x14ac:dyDescent="0.3">
      <c r="A999" s="13"/>
      <c r="B999" s="14"/>
      <c r="C999" s="14"/>
      <c r="D999" s="14"/>
      <c r="E999" s="13"/>
      <c r="F999" s="13"/>
      <c r="G999" s="13"/>
      <c r="H999" s="15"/>
      <c r="I999" s="15"/>
      <c r="J999" s="16"/>
      <c r="K999" s="13"/>
      <c r="L999" s="13"/>
      <c r="M999" s="13"/>
    </row>
    <row r="1000" spans="1:13" ht="14.25" customHeight="1" x14ac:dyDescent="0.3">
      <c r="A1000" s="13"/>
      <c r="B1000" s="14"/>
      <c r="C1000" s="14"/>
      <c r="D1000" s="14"/>
      <c r="E1000" s="13"/>
      <c r="F1000" s="13"/>
      <c r="G1000" s="13"/>
      <c r="H1000" s="15"/>
      <c r="I1000" s="15"/>
      <c r="J1000" s="16"/>
      <c r="K1000" s="13"/>
      <c r="L1000" s="13"/>
      <c r="M1000" s="13"/>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0A14B-0603-47CA-BACC-356C79AF4FC7}">
  <dimension ref="A1:E1001"/>
  <sheetViews>
    <sheetView topLeftCell="A7" workbookViewId="0">
      <selection activeCell="B24" sqref="B24"/>
    </sheetView>
  </sheetViews>
  <sheetFormatPr defaultColWidth="14.44140625" defaultRowHeight="15" customHeight="1" x14ac:dyDescent="0.3"/>
  <cols>
    <col min="1" max="1" width="11.77734375" style="8" customWidth="1"/>
    <col min="2" max="2" width="17.5546875" style="8" customWidth="1"/>
    <col min="3" max="3" width="11.33203125" style="8" customWidth="1"/>
    <col min="4" max="4" width="9.33203125" style="8" customWidth="1"/>
    <col min="5" max="5" width="48" style="8" customWidth="1"/>
    <col min="6" max="26" width="8.6640625" style="8" customWidth="1"/>
    <col min="27" max="16384" width="14.44140625" style="8"/>
  </cols>
  <sheetData>
    <row r="1" spans="1:5" ht="18" customHeight="1" x14ac:dyDescent="0.3">
      <c r="A1" s="23" t="s">
        <v>5</v>
      </c>
      <c r="B1" s="24" t="s">
        <v>323</v>
      </c>
      <c r="C1" s="24" t="s">
        <v>324</v>
      </c>
      <c r="D1" s="25" t="s">
        <v>325</v>
      </c>
      <c r="E1" s="26" t="s">
        <v>326</v>
      </c>
    </row>
    <row r="2" spans="1:5" ht="18" customHeight="1" x14ac:dyDescent="0.3">
      <c r="A2" s="21" t="s">
        <v>81</v>
      </c>
      <c r="B2" s="17" t="s">
        <v>327</v>
      </c>
      <c r="C2" s="17" t="s">
        <v>328</v>
      </c>
      <c r="D2" s="18">
        <v>749</v>
      </c>
      <c r="E2" s="22" t="s">
        <v>329</v>
      </c>
    </row>
    <row r="3" spans="1:5" ht="18" customHeight="1" x14ac:dyDescent="0.3">
      <c r="A3" s="21" t="s">
        <v>90</v>
      </c>
      <c r="B3" s="17" t="s">
        <v>330</v>
      </c>
      <c r="C3" s="17" t="s">
        <v>331</v>
      </c>
      <c r="D3" s="18">
        <v>39</v>
      </c>
      <c r="E3" s="22" t="s">
        <v>332</v>
      </c>
    </row>
    <row r="4" spans="1:5" ht="18" customHeight="1" x14ac:dyDescent="0.3">
      <c r="A4" s="21" t="s">
        <v>55</v>
      </c>
      <c r="B4" s="17" t="s">
        <v>333</v>
      </c>
      <c r="C4" s="17" t="s">
        <v>334</v>
      </c>
      <c r="D4" s="18">
        <v>129</v>
      </c>
      <c r="E4" s="22" t="s">
        <v>335</v>
      </c>
    </row>
    <row r="5" spans="1:5" ht="18" customHeight="1" x14ac:dyDescent="0.3">
      <c r="A5" s="21" t="s">
        <v>119</v>
      </c>
      <c r="B5" s="17" t="s">
        <v>336</v>
      </c>
      <c r="C5" s="17" t="s">
        <v>331</v>
      </c>
      <c r="D5" s="18">
        <v>59</v>
      </c>
      <c r="E5" s="22" t="s">
        <v>337</v>
      </c>
    </row>
    <row r="6" spans="1:5" ht="18" customHeight="1" x14ac:dyDescent="0.3">
      <c r="A6" s="21" t="s">
        <v>69</v>
      </c>
      <c r="B6" s="17" t="s">
        <v>338</v>
      </c>
      <c r="C6" s="17" t="s">
        <v>339</v>
      </c>
      <c r="D6" s="18">
        <v>25</v>
      </c>
      <c r="E6" s="22" t="s">
        <v>340</v>
      </c>
    </row>
    <row r="7" spans="1:5" ht="18" customHeight="1" x14ac:dyDescent="0.3">
      <c r="A7" s="21" t="s">
        <v>64</v>
      </c>
      <c r="B7" s="17" t="s">
        <v>341</v>
      </c>
      <c r="C7" s="17" t="s">
        <v>339</v>
      </c>
      <c r="D7" s="18">
        <v>89</v>
      </c>
      <c r="E7" s="22" t="s">
        <v>342</v>
      </c>
    </row>
    <row r="8" spans="1:5" ht="18" customHeight="1" x14ac:dyDescent="0.3">
      <c r="A8" s="21" t="s">
        <v>114</v>
      </c>
      <c r="B8" s="17" t="s">
        <v>343</v>
      </c>
      <c r="C8" s="17" t="s">
        <v>331</v>
      </c>
      <c r="D8" s="18">
        <v>29</v>
      </c>
      <c r="E8" s="22" t="s">
        <v>344</v>
      </c>
    </row>
    <row r="9" spans="1:5" ht="18" customHeight="1" x14ac:dyDescent="0.3">
      <c r="A9" s="21" t="s">
        <v>76</v>
      </c>
      <c r="B9" s="17" t="s">
        <v>345</v>
      </c>
      <c r="C9" s="17" t="s">
        <v>346</v>
      </c>
      <c r="D9" s="18">
        <v>65</v>
      </c>
      <c r="E9" s="22" t="s">
        <v>347</v>
      </c>
    </row>
    <row r="10" spans="1:5" ht="18" customHeight="1" x14ac:dyDescent="0.3">
      <c r="A10" s="21" t="s">
        <v>104</v>
      </c>
      <c r="B10" s="17" t="s">
        <v>348</v>
      </c>
      <c r="C10" s="17" t="s">
        <v>346</v>
      </c>
      <c r="D10" s="18">
        <v>10</v>
      </c>
      <c r="E10" s="22" t="s">
        <v>349</v>
      </c>
    </row>
    <row r="11" spans="1:5" ht="18" customHeight="1" x14ac:dyDescent="0.3">
      <c r="A11" s="21" t="s">
        <v>37</v>
      </c>
      <c r="B11" s="17" t="s">
        <v>350</v>
      </c>
      <c r="C11" s="17" t="s">
        <v>339</v>
      </c>
      <c r="D11" s="18">
        <v>55</v>
      </c>
      <c r="E11" s="22" t="s">
        <v>351</v>
      </c>
    </row>
    <row r="12" spans="1:5" ht="18" customHeight="1" x14ac:dyDescent="0.3">
      <c r="A12" s="21" t="s">
        <v>109</v>
      </c>
      <c r="B12" s="17" t="s">
        <v>352</v>
      </c>
      <c r="C12" s="17" t="s">
        <v>328</v>
      </c>
      <c r="D12" s="18">
        <v>159</v>
      </c>
      <c r="E12" s="22" t="s">
        <v>353</v>
      </c>
    </row>
    <row r="13" spans="1:5" ht="18" customHeight="1" x14ac:dyDescent="0.3">
      <c r="A13" s="21" t="s">
        <v>15</v>
      </c>
      <c r="B13" s="17" t="s">
        <v>354</v>
      </c>
      <c r="C13" s="17" t="s">
        <v>334</v>
      </c>
      <c r="D13" s="18">
        <v>42</v>
      </c>
      <c r="E13" s="22" t="s">
        <v>355</v>
      </c>
    </row>
    <row r="14" spans="1:5" ht="18" customHeight="1" x14ac:dyDescent="0.3">
      <c r="A14" s="21" t="s">
        <v>27</v>
      </c>
      <c r="B14" s="17" t="s">
        <v>356</v>
      </c>
      <c r="C14" s="17" t="s">
        <v>334</v>
      </c>
      <c r="D14" s="18">
        <v>185</v>
      </c>
      <c r="E14" s="22" t="s">
        <v>357</v>
      </c>
    </row>
    <row r="15" spans="1:5" ht="18" customHeight="1" x14ac:dyDescent="0.3">
      <c r="A15" s="21" t="s">
        <v>58</v>
      </c>
      <c r="B15" s="17" t="s">
        <v>358</v>
      </c>
      <c r="C15" s="17" t="s">
        <v>328</v>
      </c>
      <c r="D15" s="18">
        <v>229</v>
      </c>
      <c r="E15" s="22" t="s">
        <v>359</v>
      </c>
    </row>
    <row r="16" spans="1:5" ht="18" customHeight="1" x14ac:dyDescent="0.3">
      <c r="A16" s="21" t="s">
        <v>73</v>
      </c>
      <c r="B16" s="17" t="s">
        <v>360</v>
      </c>
      <c r="C16" s="17" t="s">
        <v>346</v>
      </c>
      <c r="D16" s="18">
        <v>20</v>
      </c>
      <c r="E16" s="22" t="s">
        <v>361</v>
      </c>
    </row>
    <row r="17" spans="1:5" ht="18" customHeight="1" x14ac:dyDescent="0.3">
      <c r="A17" s="21" t="s">
        <v>111</v>
      </c>
      <c r="B17" s="17" t="s">
        <v>362</v>
      </c>
      <c r="C17" s="17" t="s">
        <v>334</v>
      </c>
      <c r="D17" s="18">
        <v>199</v>
      </c>
      <c r="E17" s="22" t="s">
        <v>363</v>
      </c>
    </row>
    <row r="18" spans="1:5" ht="18" customHeight="1" x14ac:dyDescent="0.3">
      <c r="A18" s="21" t="s">
        <v>67</v>
      </c>
      <c r="B18" s="17" t="s">
        <v>364</v>
      </c>
      <c r="C18" s="17" t="s">
        <v>328</v>
      </c>
      <c r="D18" s="18">
        <v>69</v>
      </c>
      <c r="E18" s="22" t="s">
        <v>365</v>
      </c>
    </row>
    <row r="19" spans="1:5" ht="18" customHeight="1" x14ac:dyDescent="0.3">
      <c r="A19" s="21" t="s">
        <v>22</v>
      </c>
      <c r="B19" s="17" t="s">
        <v>366</v>
      </c>
      <c r="C19" s="17" t="s">
        <v>331</v>
      </c>
      <c r="D19" s="18">
        <v>89</v>
      </c>
      <c r="E19" s="22" t="s">
        <v>367</v>
      </c>
    </row>
    <row r="20" spans="1:5" ht="18" customHeight="1" x14ac:dyDescent="0.3">
      <c r="A20" s="21" t="s">
        <v>53</v>
      </c>
      <c r="B20" s="17" t="s">
        <v>368</v>
      </c>
      <c r="C20" s="17" t="s">
        <v>339</v>
      </c>
      <c r="D20" s="18">
        <v>40</v>
      </c>
      <c r="E20" s="22" t="s">
        <v>369</v>
      </c>
    </row>
    <row r="21" spans="1:5" ht="18" customHeight="1" x14ac:dyDescent="0.3">
      <c r="A21" s="21" t="s">
        <v>44</v>
      </c>
      <c r="B21" s="17" t="s">
        <v>370</v>
      </c>
      <c r="C21" s="17" t="s">
        <v>328</v>
      </c>
      <c r="D21" s="18">
        <v>99</v>
      </c>
      <c r="E21" s="22" t="s">
        <v>371</v>
      </c>
    </row>
    <row r="22" spans="1:5" ht="18" customHeight="1" x14ac:dyDescent="0.3">
      <c r="A22" s="21" t="s">
        <v>49</v>
      </c>
      <c r="B22" s="17" t="s">
        <v>372</v>
      </c>
      <c r="C22" s="17" t="s">
        <v>334</v>
      </c>
      <c r="D22" s="18">
        <v>34</v>
      </c>
      <c r="E22" s="22" t="s">
        <v>373</v>
      </c>
    </row>
    <row r="23" spans="1:5" ht="18" customHeight="1" x14ac:dyDescent="0.3">
      <c r="A23" s="27" t="s">
        <v>92</v>
      </c>
      <c r="B23" s="28" t="s">
        <v>374</v>
      </c>
      <c r="C23" s="28" t="s">
        <v>339</v>
      </c>
      <c r="D23" s="29">
        <v>60</v>
      </c>
      <c r="E23" s="30" t="s">
        <v>375</v>
      </c>
    </row>
    <row r="24" spans="1:5" ht="14.25" customHeight="1" x14ac:dyDescent="0.3">
      <c r="A24" s="42" t="s">
        <v>456</v>
      </c>
      <c r="B24" s="43">
        <f>SUBTOTAL(103,Product_table[Product Name])</f>
        <v>22</v>
      </c>
      <c r="C24" s="43"/>
      <c r="D24" s="59"/>
      <c r="E24" s="44">
        <f>SUBTOTAL(103,Product_table[Description])</f>
        <v>22</v>
      </c>
    </row>
    <row r="25" spans="1:5" ht="14.25" customHeight="1" x14ac:dyDescent="0.3">
      <c r="A25" s="13"/>
      <c r="B25" s="13"/>
      <c r="C25" s="13"/>
      <c r="D25" s="15"/>
      <c r="E25" s="13"/>
    </row>
    <row r="26" spans="1:5" ht="14.25" customHeight="1" x14ac:dyDescent="0.3">
      <c r="A26" s="13"/>
      <c r="B26" s="13"/>
      <c r="C26" s="13"/>
      <c r="D26" s="15"/>
      <c r="E26" s="13"/>
    </row>
    <row r="27" spans="1:5" ht="14.25" customHeight="1" x14ac:dyDescent="0.3">
      <c r="A27" s="13"/>
      <c r="B27" s="13"/>
      <c r="C27" s="13"/>
      <c r="D27" s="15"/>
      <c r="E27" s="13"/>
    </row>
    <row r="28" spans="1:5" ht="14.25" customHeight="1" x14ac:dyDescent="0.3">
      <c r="A28" s="13"/>
      <c r="B28" s="13"/>
      <c r="C28" s="13"/>
      <c r="D28" s="15"/>
      <c r="E28" s="13"/>
    </row>
    <row r="29" spans="1:5" ht="14.25" customHeight="1" x14ac:dyDescent="0.3">
      <c r="A29" s="13"/>
      <c r="B29" s="13"/>
      <c r="C29" s="13"/>
      <c r="D29" s="15"/>
      <c r="E29" s="13"/>
    </row>
    <row r="30" spans="1:5" ht="14.25" customHeight="1" x14ac:dyDescent="0.3">
      <c r="A30" s="13"/>
      <c r="B30" s="13"/>
      <c r="C30" s="13"/>
      <c r="D30" s="15"/>
      <c r="E30" s="13"/>
    </row>
    <row r="31" spans="1:5" ht="14.25" customHeight="1" x14ac:dyDescent="0.3">
      <c r="A31" s="13"/>
      <c r="B31" s="13"/>
      <c r="C31" s="13"/>
      <c r="D31" s="15"/>
      <c r="E31" s="13"/>
    </row>
    <row r="32" spans="1:5" ht="14.25" customHeight="1" x14ac:dyDescent="0.3">
      <c r="A32" s="13"/>
      <c r="B32" s="13"/>
      <c r="C32" s="13"/>
      <c r="D32" s="15"/>
      <c r="E32" s="13"/>
    </row>
    <row r="33" spans="1:5" ht="14.25" customHeight="1" x14ac:dyDescent="0.3">
      <c r="A33" s="13"/>
      <c r="B33" s="13"/>
      <c r="C33" s="13"/>
      <c r="D33" s="15"/>
      <c r="E33" s="13"/>
    </row>
    <row r="34" spans="1:5" ht="14.25" customHeight="1" x14ac:dyDescent="0.3">
      <c r="A34" s="13"/>
      <c r="B34" s="13"/>
      <c r="C34" s="13"/>
      <c r="D34" s="15"/>
      <c r="E34" s="13"/>
    </row>
    <row r="35" spans="1:5" ht="14.25" customHeight="1" x14ac:dyDescent="0.3">
      <c r="A35" s="13"/>
      <c r="B35" s="13"/>
      <c r="C35" s="13"/>
      <c r="D35" s="15"/>
      <c r="E35" s="13"/>
    </row>
    <row r="36" spans="1:5" ht="14.25" customHeight="1" x14ac:dyDescent="0.3">
      <c r="A36" s="13"/>
      <c r="B36" s="13"/>
      <c r="C36" s="13"/>
      <c r="D36" s="15"/>
      <c r="E36" s="13"/>
    </row>
    <row r="37" spans="1:5" ht="14.25" customHeight="1" x14ac:dyDescent="0.3">
      <c r="A37" s="13"/>
      <c r="B37" s="13"/>
      <c r="C37" s="13"/>
      <c r="D37" s="15"/>
      <c r="E37" s="13"/>
    </row>
    <row r="38" spans="1:5" ht="14.25" customHeight="1" x14ac:dyDescent="0.3">
      <c r="A38" s="13"/>
      <c r="B38" s="13"/>
      <c r="C38" s="13"/>
      <c r="D38" s="15"/>
      <c r="E38" s="13"/>
    </row>
    <row r="39" spans="1:5" ht="14.25" customHeight="1" x14ac:dyDescent="0.3">
      <c r="A39" s="13"/>
      <c r="B39" s="13"/>
      <c r="C39" s="13"/>
      <c r="D39" s="15"/>
      <c r="E39" s="13"/>
    </row>
    <row r="40" spans="1:5" ht="14.25" customHeight="1" x14ac:dyDescent="0.3">
      <c r="A40" s="13"/>
      <c r="B40" s="13"/>
      <c r="C40" s="13"/>
      <c r="D40" s="15"/>
      <c r="E40" s="13"/>
    </row>
    <row r="41" spans="1:5" ht="14.25" customHeight="1" x14ac:dyDescent="0.3">
      <c r="A41" s="13"/>
      <c r="B41" s="13"/>
      <c r="C41" s="13"/>
      <c r="D41" s="15"/>
      <c r="E41" s="13"/>
    </row>
    <row r="42" spans="1:5" ht="14.25" customHeight="1" x14ac:dyDescent="0.3">
      <c r="A42" s="13"/>
      <c r="B42" s="13"/>
      <c r="C42" s="13"/>
      <c r="D42" s="15"/>
      <c r="E42" s="13"/>
    </row>
    <row r="43" spans="1:5" ht="14.25" customHeight="1" x14ac:dyDescent="0.3">
      <c r="A43" s="13"/>
      <c r="B43" s="13"/>
      <c r="C43" s="13"/>
      <c r="D43" s="15"/>
      <c r="E43" s="13"/>
    </row>
    <row r="44" spans="1:5" ht="14.25" customHeight="1" x14ac:dyDescent="0.3">
      <c r="A44" s="13"/>
      <c r="B44" s="13"/>
      <c r="C44" s="13"/>
      <c r="D44" s="15"/>
      <c r="E44" s="13"/>
    </row>
    <row r="45" spans="1:5" ht="14.25" customHeight="1" x14ac:dyDescent="0.3">
      <c r="A45" s="13"/>
      <c r="B45" s="13"/>
      <c r="C45" s="13"/>
      <c r="D45" s="15"/>
      <c r="E45" s="13"/>
    </row>
    <row r="46" spans="1:5" ht="14.25" customHeight="1" x14ac:dyDescent="0.3">
      <c r="A46" s="13"/>
      <c r="B46" s="13"/>
      <c r="C46" s="13"/>
      <c r="D46" s="15"/>
      <c r="E46" s="13"/>
    </row>
    <row r="47" spans="1:5" ht="14.25" customHeight="1" x14ac:dyDescent="0.3">
      <c r="A47" s="13"/>
      <c r="B47" s="13"/>
      <c r="C47" s="13"/>
      <c r="D47" s="15"/>
      <c r="E47" s="13"/>
    </row>
    <row r="48" spans="1:5" ht="14.25" customHeight="1" x14ac:dyDescent="0.3">
      <c r="A48" s="13"/>
      <c r="B48" s="13"/>
      <c r="C48" s="13"/>
      <c r="D48" s="15"/>
      <c r="E48" s="13"/>
    </row>
    <row r="49" spans="1:5" ht="14.25" customHeight="1" x14ac:dyDescent="0.3">
      <c r="A49" s="13"/>
      <c r="B49" s="13"/>
      <c r="C49" s="13"/>
      <c r="D49" s="15"/>
      <c r="E49" s="13"/>
    </row>
    <row r="50" spans="1:5" ht="14.25" customHeight="1" x14ac:dyDescent="0.3">
      <c r="A50" s="13"/>
      <c r="B50" s="13"/>
      <c r="C50" s="13"/>
      <c r="D50" s="15"/>
      <c r="E50" s="13"/>
    </row>
    <row r="51" spans="1:5" ht="14.25" customHeight="1" x14ac:dyDescent="0.3">
      <c r="A51" s="13"/>
      <c r="B51" s="13"/>
      <c r="C51" s="13"/>
      <c r="D51" s="15"/>
      <c r="E51" s="13"/>
    </row>
    <row r="52" spans="1:5" ht="14.25" customHeight="1" x14ac:dyDescent="0.3">
      <c r="A52" s="13"/>
      <c r="B52" s="13"/>
      <c r="C52" s="13"/>
      <c r="D52" s="15"/>
      <c r="E52" s="13"/>
    </row>
    <row r="53" spans="1:5" ht="14.25" customHeight="1" x14ac:dyDescent="0.3">
      <c r="A53" s="13"/>
      <c r="B53" s="13"/>
      <c r="C53" s="13"/>
      <c r="D53" s="15"/>
      <c r="E53" s="13"/>
    </row>
    <row r="54" spans="1:5" ht="14.25" customHeight="1" x14ac:dyDescent="0.3">
      <c r="A54" s="13"/>
      <c r="B54" s="13"/>
      <c r="C54" s="13"/>
      <c r="D54" s="15"/>
      <c r="E54" s="13"/>
    </row>
    <row r="55" spans="1:5" ht="14.25" customHeight="1" x14ac:dyDescent="0.3">
      <c r="A55" s="13"/>
      <c r="B55" s="13"/>
      <c r="C55" s="13"/>
      <c r="D55" s="15"/>
      <c r="E55" s="13"/>
    </row>
    <row r="56" spans="1:5" ht="14.25" customHeight="1" x14ac:dyDescent="0.3">
      <c r="A56" s="13"/>
      <c r="B56" s="13"/>
      <c r="C56" s="13"/>
      <c r="D56" s="15"/>
      <c r="E56" s="13"/>
    </row>
    <row r="57" spans="1:5" ht="14.25" customHeight="1" x14ac:dyDescent="0.3">
      <c r="A57" s="13"/>
      <c r="B57" s="13"/>
      <c r="C57" s="13"/>
      <c r="D57" s="15"/>
      <c r="E57" s="13"/>
    </row>
    <row r="58" spans="1:5" ht="14.25" customHeight="1" x14ac:dyDescent="0.3">
      <c r="A58" s="13"/>
      <c r="B58" s="13"/>
      <c r="C58" s="13"/>
      <c r="D58" s="15"/>
      <c r="E58" s="13"/>
    </row>
    <row r="59" spans="1:5" ht="14.25" customHeight="1" x14ac:dyDescent="0.3">
      <c r="A59" s="13"/>
      <c r="B59" s="13"/>
      <c r="C59" s="13"/>
      <c r="D59" s="15"/>
      <c r="E59" s="13"/>
    </row>
    <row r="60" spans="1:5" ht="14.25" customHeight="1" x14ac:dyDescent="0.3">
      <c r="A60" s="13"/>
      <c r="B60" s="13"/>
      <c r="C60" s="13"/>
      <c r="D60" s="15"/>
      <c r="E60" s="13"/>
    </row>
    <row r="61" spans="1:5" ht="14.25" customHeight="1" x14ac:dyDescent="0.3">
      <c r="A61" s="13"/>
      <c r="B61" s="13"/>
      <c r="C61" s="13"/>
      <c r="D61" s="15"/>
      <c r="E61" s="13"/>
    </row>
    <row r="62" spans="1:5" ht="14.25" customHeight="1" x14ac:dyDescent="0.3">
      <c r="A62" s="13"/>
      <c r="B62" s="13"/>
      <c r="C62" s="13"/>
      <c r="D62" s="15"/>
      <c r="E62" s="13"/>
    </row>
    <row r="63" spans="1:5" ht="14.25" customHeight="1" x14ac:dyDescent="0.3">
      <c r="A63" s="13"/>
      <c r="B63" s="13"/>
      <c r="C63" s="13"/>
      <c r="D63" s="15"/>
      <c r="E63" s="13"/>
    </row>
    <row r="64" spans="1:5" ht="14.25" customHeight="1" x14ac:dyDescent="0.3">
      <c r="A64" s="13"/>
      <c r="B64" s="13"/>
      <c r="C64" s="13"/>
      <c r="D64" s="15"/>
      <c r="E64" s="13"/>
    </row>
    <row r="65" spans="1:5" ht="14.25" customHeight="1" x14ac:dyDescent="0.3">
      <c r="A65" s="13"/>
      <c r="B65" s="13"/>
      <c r="C65" s="13"/>
      <c r="D65" s="15"/>
      <c r="E65" s="13"/>
    </row>
    <row r="66" spans="1:5" ht="14.25" customHeight="1" x14ac:dyDescent="0.3">
      <c r="A66" s="13"/>
      <c r="B66" s="13"/>
      <c r="C66" s="13"/>
      <c r="D66" s="15"/>
      <c r="E66" s="13"/>
    </row>
    <row r="67" spans="1:5" ht="14.25" customHeight="1" x14ac:dyDescent="0.3">
      <c r="A67" s="13"/>
      <c r="B67" s="13"/>
      <c r="C67" s="13"/>
      <c r="D67" s="15"/>
      <c r="E67" s="13"/>
    </row>
    <row r="68" spans="1:5" ht="14.25" customHeight="1" x14ac:dyDescent="0.3">
      <c r="A68" s="13"/>
      <c r="B68" s="13"/>
      <c r="C68" s="13"/>
      <c r="D68" s="15"/>
      <c r="E68" s="13"/>
    </row>
    <row r="69" spans="1:5" ht="14.25" customHeight="1" x14ac:dyDescent="0.3">
      <c r="A69" s="13"/>
      <c r="B69" s="13"/>
      <c r="C69" s="13"/>
      <c r="D69" s="15"/>
      <c r="E69" s="13"/>
    </row>
    <row r="70" spans="1:5" ht="14.25" customHeight="1" x14ac:dyDescent="0.3">
      <c r="A70" s="13"/>
      <c r="B70" s="13"/>
      <c r="C70" s="13"/>
      <c r="D70" s="15"/>
      <c r="E70" s="13"/>
    </row>
    <row r="71" spans="1:5" ht="14.25" customHeight="1" x14ac:dyDescent="0.3">
      <c r="A71" s="13"/>
      <c r="B71" s="13"/>
      <c r="C71" s="13"/>
      <c r="D71" s="15"/>
      <c r="E71" s="13"/>
    </row>
    <row r="72" spans="1:5" ht="14.25" customHeight="1" x14ac:dyDescent="0.3">
      <c r="A72" s="13"/>
      <c r="B72" s="13"/>
      <c r="C72" s="13"/>
      <c r="D72" s="15"/>
      <c r="E72" s="13"/>
    </row>
    <row r="73" spans="1:5" ht="14.25" customHeight="1" x14ac:dyDescent="0.3">
      <c r="A73" s="13"/>
      <c r="B73" s="13"/>
      <c r="C73" s="13"/>
      <c r="D73" s="15"/>
      <c r="E73" s="13"/>
    </row>
    <row r="74" spans="1:5" ht="14.25" customHeight="1" x14ac:dyDescent="0.3">
      <c r="A74" s="13"/>
      <c r="B74" s="13"/>
      <c r="C74" s="13"/>
      <c r="D74" s="15"/>
      <c r="E74" s="13"/>
    </row>
    <row r="75" spans="1:5" ht="14.25" customHeight="1" x14ac:dyDescent="0.3">
      <c r="A75" s="13"/>
      <c r="B75" s="13"/>
      <c r="C75" s="13"/>
      <c r="D75" s="15"/>
      <c r="E75" s="13"/>
    </row>
    <row r="76" spans="1:5" ht="14.25" customHeight="1" x14ac:dyDescent="0.3">
      <c r="A76" s="13"/>
      <c r="B76" s="13"/>
      <c r="C76" s="13"/>
      <c r="D76" s="15"/>
      <c r="E76" s="13"/>
    </row>
    <row r="77" spans="1:5" ht="14.25" customHeight="1" x14ac:dyDescent="0.3">
      <c r="A77" s="13"/>
      <c r="B77" s="13"/>
      <c r="C77" s="13"/>
      <c r="D77" s="15"/>
      <c r="E77" s="13"/>
    </row>
    <row r="78" spans="1:5" ht="14.25" customHeight="1" x14ac:dyDescent="0.3">
      <c r="A78" s="13"/>
      <c r="B78" s="13"/>
      <c r="C78" s="13"/>
      <c r="D78" s="15"/>
      <c r="E78" s="13"/>
    </row>
    <row r="79" spans="1:5" ht="14.25" customHeight="1" x14ac:dyDescent="0.3">
      <c r="A79" s="13"/>
      <c r="B79" s="13"/>
      <c r="C79" s="13"/>
      <c r="D79" s="15"/>
      <c r="E79" s="13"/>
    </row>
    <row r="80" spans="1:5" ht="14.25" customHeight="1" x14ac:dyDescent="0.3">
      <c r="A80" s="13"/>
      <c r="B80" s="13"/>
      <c r="C80" s="13"/>
      <c r="D80" s="15"/>
      <c r="E80" s="13"/>
    </row>
    <row r="81" spans="1:5" ht="14.25" customHeight="1" x14ac:dyDescent="0.3">
      <c r="A81" s="13"/>
      <c r="B81" s="13"/>
      <c r="C81" s="13"/>
      <c r="D81" s="15"/>
      <c r="E81" s="13"/>
    </row>
    <row r="82" spans="1:5" ht="14.25" customHeight="1" x14ac:dyDescent="0.3">
      <c r="A82" s="13"/>
      <c r="B82" s="13"/>
      <c r="C82" s="13"/>
      <c r="D82" s="15"/>
      <c r="E82" s="13"/>
    </row>
    <row r="83" spans="1:5" ht="14.25" customHeight="1" x14ac:dyDescent="0.3">
      <c r="A83" s="13"/>
      <c r="B83" s="13"/>
      <c r="C83" s="13"/>
      <c r="D83" s="15"/>
      <c r="E83" s="13"/>
    </row>
    <row r="84" spans="1:5" ht="14.25" customHeight="1" x14ac:dyDescent="0.3">
      <c r="A84" s="13"/>
      <c r="B84" s="13"/>
      <c r="C84" s="13"/>
      <c r="D84" s="15"/>
      <c r="E84" s="13"/>
    </row>
    <row r="85" spans="1:5" ht="14.25" customHeight="1" x14ac:dyDescent="0.3">
      <c r="A85" s="13"/>
      <c r="B85" s="13"/>
      <c r="C85" s="13"/>
      <c r="D85" s="15"/>
      <c r="E85" s="13"/>
    </row>
    <row r="86" spans="1:5" ht="14.25" customHeight="1" x14ac:dyDescent="0.3">
      <c r="A86" s="13"/>
      <c r="B86" s="13"/>
      <c r="C86" s="13"/>
      <c r="D86" s="15"/>
      <c r="E86" s="13"/>
    </row>
    <row r="87" spans="1:5" ht="14.25" customHeight="1" x14ac:dyDescent="0.3">
      <c r="A87" s="13"/>
      <c r="B87" s="13"/>
      <c r="C87" s="13"/>
      <c r="D87" s="15"/>
      <c r="E87" s="13"/>
    </row>
    <row r="88" spans="1:5" ht="14.25" customHeight="1" x14ac:dyDescent="0.3">
      <c r="A88" s="13"/>
      <c r="B88" s="13"/>
      <c r="C88" s="13"/>
      <c r="D88" s="15"/>
      <c r="E88" s="13"/>
    </row>
    <row r="89" spans="1:5" ht="14.25" customHeight="1" x14ac:dyDescent="0.3">
      <c r="A89" s="13"/>
      <c r="B89" s="13"/>
      <c r="C89" s="13"/>
      <c r="D89" s="15"/>
      <c r="E89" s="13"/>
    </row>
    <row r="90" spans="1:5" ht="14.25" customHeight="1" x14ac:dyDescent="0.3">
      <c r="A90" s="13"/>
      <c r="B90" s="13"/>
      <c r="C90" s="13"/>
      <c r="D90" s="15"/>
      <c r="E90" s="13"/>
    </row>
    <row r="91" spans="1:5" ht="14.25" customHeight="1" x14ac:dyDescent="0.3">
      <c r="A91" s="13"/>
      <c r="B91" s="13"/>
      <c r="C91" s="13"/>
      <c r="D91" s="15"/>
      <c r="E91" s="13"/>
    </row>
    <row r="92" spans="1:5" ht="14.25" customHeight="1" x14ac:dyDescent="0.3">
      <c r="A92" s="13"/>
      <c r="B92" s="13"/>
      <c r="C92" s="13"/>
      <c r="D92" s="15"/>
      <c r="E92" s="13"/>
    </row>
    <row r="93" spans="1:5" ht="14.25" customHeight="1" x14ac:dyDescent="0.3">
      <c r="A93" s="13"/>
      <c r="B93" s="13"/>
      <c r="C93" s="13"/>
      <c r="D93" s="15"/>
      <c r="E93" s="13"/>
    </row>
    <row r="94" spans="1:5" ht="14.25" customHeight="1" x14ac:dyDescent="0.3">
      <c r="A94" s="13"/>
      <c r="B94" s="13"/>
      <c r="C94" s="13"/>
      <c r="D94" s="15"/>
      <c r="E94" s="13"/>
    </row>
    <row r="95" spans="1:5" ht="14.25" customHeight="1" x14ac:dyDescent="0.3">
      <c r="A95" s="13"/>
      <c r="B95" s="13"/>
      <c r="C95" s="13"/>
      <c r="D95" s="15"/>
      <c r="E95" s="13"/>
    </row>
    <row r="96" spans="1:5" ht="14.25" customHeight="1" x14ac:dyDescent="0.3">
      <c r="A96" s="13"/>
      <c r="B96" s="13"/>
      <c r="C96" s="13"/>
      <c r="D96" s="15"/>
      <c r="E96" s="13"/>
    </row>
    <row r="97" spans="1:5" ht="14.25" customHeight="1" x14ac:dyDescent="0.3">
      <c r="A97" s="13"/>
      <c r="B97" s="13"/>
      <c r="C97" s="13"/>
      <c r="D97" s="15"/>
      <c r="E97" s="13"/>
    </row>
    <row r="98" spans="1:5" ht="14.25" customHeight="1" x14ac:dyDescent="0.3">
      <c r="A98" s="13"/>
      <c r="B98" s="13"/>
      <c r="C98" s="13"/>
      <c r="D98" s="15"/>
      <c r="E98" s="13"/>
    </row>
    <row r="99" spans="1:5" ht="14.25" customHeight="1" x14ac:dyDescent="0.3">
      <c r="A99" s="13"/>
      <c r="B99" s="13"/>
      <c r="C99" s="13"/>
      <c r="D99" s="15"/>
      <c r="E99" s="13"/>
    </row>
    <row r="100" spans="1:5" ht="14.25" customHeight="1" x14ac:dyDescent="0.3">
      <c r="A100" s="13"/>
      <c r="B100" s="13"/>
      <c r="C100" s="13"/>
      <c r="D100" s="15"/>
      <c r="E100" s="13"/>
    </row>
    <row r="101" spans="1:5" ht="14.25" customHeight="1" x14ac:dyDescent="0.3">
      <c r="A101" s="13"/>
      <c r="B101" s="13"/>
      <c r="C101" s="13"/>
      <c r="D101" s="15"/>
      <c r="E101" s="13"/>
    </row>
    <row r="102" spans="1:5" ht="14.25" customHeight="1" x14ac:dyDescent="0.3">
      <c r="A102" s="13"/>
      <c r="B102" s="13"/>
      <c r="C102" s="13"/>
      <c r="D102" s="15"/>
      <c r="E102" s="13"/>
    </row>
    <row r="103" spans="1:5" ht="14.25" customHeight="1" x14ac:dyDescent="0.3">
      <c r="A103" s="13"/>
      <c r="B103" s="13"/>
      <c r="C103" s="13"/>
      <c r="D103" s="15"/>
      <c r="E103" s="13"/>
    </row>
    <row r="104" spans="1:5" ht="14.25" customHeight="1" x14ac:dyDescent="0.3">
      <c r="A104" s="13"/>
      <c r="B104" s="13"/>
      <c r="C104" s="13"/>
      <c r="D104" s="15"/>
      <c r="E104" s="13"/>
    </row>
    <row r="105" spans="1:5" ht="14.25" customHeight="1" x14ac:dyDescent="0.3">
      <c r="A105" s="13"/>
      <c r="B105" s="13"/>
      <c r="C105" s="13"/>
      <c r="D105" s="15"/>
      <c r="E105" s="13"/>
    </row>
    <row r="106" spans="1:5" ht="14.25" customHeight="1" x14ac:dyDescent="0.3">
      <c r="A106" s="13"/>
      <c r="B106" s="13"/>
      <c r="C106" s="13"/>
      <c r="D106" s="15"/>
      <c r="E106" s="13"/>
    </row>
    <row r="107" spans="1:5" ht="14.25" customHeight="1" x14ac:dyDescent="0.3">
      <c r="A107" s="13"/>
      <c r="B107" s="13"/>
      <c r="C107" s="13"/>
      <c r="D107" s="15"/>
      <c r="E107" s="13"/>
    </row>
    <row r="108" spans="1:5" ht="14.25" customHeight="1" x14ac:dyDescent="0.3">
      <c r="A108" s="13"/>
      <c r="B108" s="13"/>
      <c r="C108" s="13"/>
      <c r="D108" s="15"/>
      <c r="E108" s="13"/>
    </row>
    <row r="109" spans="1:5" ht="14.25" customHeight="1" x14ac:dyDescent="0.3">
      <c r="A109" s="13"/>
      <c r="B109" s="13"/>
      <c r="C109" s="13"/>
      <c r="D109" s="15"/>
      <c r="E109" s="13"/>
    </row>
    <row r="110" spans="1:5" ht="14.25" customHeight="1" x14ac:dyDescent="0.3">
      <c r="A110" s="13"/>
      <c r="B110" s="13"/>
      <c r="C110" s="13"/>
      <c r="D110" s="15"/>
      <c r="E110" s="13"/>
    </row>
    <row r="111" spans="1:5" ht="14.25" customHeight="1" x14ac:dyDescent="0.3">
      <c r="A111" s="13"/>
      <c r="B111" s="13"/>
      <c r="C111" s="13"/>
      <c r="D111" s="15"/>
      <c r="E111" s="13"/>
    </row>
    <row r="112" spans="1:5" ht="14.25" customHeight="1" x14ac:dyDescent="0.3">
      <c r="A112" s="13"/>
      <c r="B112" s="13"/>
      <c r="C112" s="13"/>
      <c r="D112" s="15"/>
      <c r="E112" s="13"/>
    </row>
    <row r="113" spans="1:5" ht="14.25" customHeight="1" x14ac:dyDescent="0.3">
      <c r="A113" s="13"/>
      <c r="B113" s="13"/>
      <c r="C113" s="13"/>
      <c r="D113" s="15"/>
      <c r="E113" s="13"/>
    </row>
    <row r="114" spans="1:5" ht="14.25" customHeight="1" x14ac:dyDescent="0.3">
      <c r="A114" s="13"/>
      <c r="B114" s="13"/>
      <c r="C114" s="13"/>
      <c r="D114" s="15"/>
      <c r="E114" s="13"/>
    </row>
    <row r="115" spans="1:5" ht="14.25" customHeight="1" x14ac:dyDescent="0.3">
      <c r="A115" s="13"/>
      <c r="B115" s="13"/>
      <c r="C115" s="13"/>
      <c r="D115" s="15"/>
      <c r="E115" s="13"/>
    </row>
    <row r="116" spans="1:5" ht="14.25" customHeight="1" x14ac:dyDescent="0.3">
      <c r="A116" s="13"/>
      <c r="B116" s="13"/>
      <c r="C116" s="13"/>
      <c r="D116" s="15"/>
      <c r="E116" s="13"/>
    </row>
    <row r="117" spans="1:5" ht="14.25" customHeight="1" x14ac:dyDescent="0.3">
      <c r="A117" s="13"/>
      <c r="B117" s="13"/>
      <c r="C117" s="13"/>
      <c r="D117" s="15"/>
      <c r="E117" s="13"/>
    </row>
    <row r="118" spans="1:5" ht="14.25" customHeight="1" x14ac:dyDescent="0.3">
      <c r="A118" s="13"/>
      <c r="B118" s="13"/>
      <c r="C118" s="13"/>
      <c r="D118" s="15"/>
      <c r="E118" s="13"/>
    </row>
    <row r="119" spans="1:5" ht="14.25" customHeight="1" x14ac:dyDescent="0.3">
      <c r="A119" s="13"/>
      <c r="B119" s="13"/>
      <c r="C119" s="13"/>
      <c r="D119" s="15"/>
      <c r="E119" s="13"/>
    </row>
    <row r="120" spans="1:5" ht="14.25" customHeight="1" x14ac:dyDescent="0.3">
      <c r="A120" s="13"/>
      <c r="B120" s="13"/>
      <c r="C120" s="13"/>
      <c r="D120" s="15"/>
      <c r="E120" s="13"/>
    </row>
    <row r="121" spans="1:5" ht="14.25" customHeight="1" x14ac:dyDescent="0.3">
      <c r="A121" s="13"/>
      <c r="B121" s="13"/>
      <c r="C121" s="13"/>
      <c r="D121" s="15"/>
      <c r="E121" s="13"/>
    </row>
    <row r="122" spans="1:5" ht="14.25" customHeight="1" x14ac:dyDescent="0.3">
      <c r="A122" s="13"/>
      <c r="B122" s="13"/>
      <c r="C122" s="13"/>
      <c r="D122" s="15"/>
      <c r="E122" s="13"/>
    </row>
    <row r="123" spans="1:5" ht="14.25" customHeight="1" x14ac:dyDescent="0.3">
      <c r="A123" s="13"/>
      <c r="B123" s="13"/>
      <c r="C123" s="13"/>
      <c r="D123" s="15"/>
      <c r="E123" s="13"/>
    </row>
    <row r="124" spans="1:5" ht="14.25" customHeight="1" x14ac:dyDescent="0.3">
      <c r="A124" s="13"/>
      <c r="B124" s="13"/>
      <c r="C124" s="13"/>
      <c r="D124" s="15"/>
      <c r="E124" s="13"/>
    </row>
    <row r="125" spans="1:5" ht="14.25" customHeight="1" x14ac:dyDescent="0.3">
      <c r="A125" s="13"/>
      <c r="B125" s="13"/>
      <c r="C125" s="13"/>
      <c r="D125" s="15"/>
      <c r="E125" s="13"/>
    </row>
    <row r="126" spans="1:5" ht="14.25" customHeight="1" x14ac:dyDescent="0.3">
      <c r="A126" s="13"/>
      <c r="B126" s="13"/>
      <c r="C126" s="13"/>
      <c r="D126" s="15"/>
      <c r="E126" s="13"/>
    </row>
    <row r="127" spans="1:5" ht="14.25" customHeight="1" x14ac:dyDescent="0.3">
      <c r="A127" s="13"/>
      <c r="B127" s="13"/>
      <c r="C127" s="13"/>
      <c r="D127" s="15"/>
      <c r="E127" s="13"/>
    </row>
    <row r="128" spans="1:5" ht="14.25" customHeight="1" x14ac:dyDescent="0.3">
      <c r="A128" s="13"/>
      <c r="B128" s="13"/>
      <c r="C128" s="13"/>
      <c r="D128" s="15"/>
      <c r="E128" s="13"/>
    </row>
    <row r="129" spans="1:5" ht="14.25" customHeight="1" x14ac:dyDescent="0.3">
      <c r="A129" s="13"/>
      <c r="B129" s="13"/>
      <c r="C129" s="13"/>
      <c r="D129" s="15"/>
      <c r="E129" s="13"/>
    </row>
    <row r="130" spans="1:5" ht="14.25" customHeight="1" x14ac:dyDescent="0.3">
      <c r="A130" s="13"/>
      <c r="B130" s="13"/>
      <c r="C130" s="13"/>
      <c r="D130" s="15"/>
      <c r="E130" s="13"/>
    </row>
    <row r="131" spans="1:5" ht="14.25" customHeight="1" x14ac:dyDescent="0.3">
      <c r="A131" s="13"/>
      <c r="B131" s="13"/>
      <c r="C131" s="13"/>
      <c r="D131" s="15"/>
      <c r="E131" s="13"/>
    </row>
    <row r="132" spans="1:5" ht="14.25" customHeight="1" x14ac:dyDescent="0.3">
      <c r="A132" s="13"/>
      <c r="B132" s="13"/>
      <c r="C132" s="13"/>
      <c r="D132" s="15"/>
      <c r="E132" s="13"/>
    </row>
    <row r="133" spans="1:5" ht="14.25" customHeight="1" x14ac:dyDescent="0.3">
      <c r="A133" s="13"/>
      <c r="B133" s="13"/>
      <c r="C133" s="13"/>
      <c r="D133" s="15"/>
      <c r="E133" s="13"/>
    </row>
    <row r="134" spans="1:5" ht="14.25" customHeight="1" x14ac:dyDescent="0.3">
      <c r="A134" s="13"/>
      <c r="B134" s="13"/>
      <c r="C134" s="13"/>
      <c r="D134" s="15"/>
      <c r="E134" s="13"/>
    </row>
    <row r="135" spans="1:5" ht="14.25" customHeight="1" x14ac:dyDescent="0.3">
      <c r="A135" s="13"/>
      <c r="B135" s="13"/>
      <c r="C135" s="13"/>
      <c r="D135" s="15"/>
      <c r="E135" s="13"/>
    </row>
    <row r="136" spans="1:5" ht="14.25" customHeight="1" x14ac:dyDescent="0.3">
      <c r="A136" s="13"/>
      <c r="B136" s="13"/>
      <c r="C136" s="13"/>
      <c r="D136" s="15"/>
      <c r="E136" s="13"/>
    </row>
    <row r="137" spans="1:5" ht="14.25" customHeight="1" x14ac:dyDescent="0.3">
      <c r="A137" s="13"/>
      <c r="B137" s="13"/>
      <c r="C137" s="13"/>
      <c r="D137" s="15"/>
      <c r="E137" s="13"/>
    </row>
    <row r="138" spans="1:5" ht="14.25" customHeight="1" x14ac:dyDescent="0.3">
      <c r="A138" s="13"/>
      <c r="B138" s="13"/>
      <c r="C138" s="13"/>
      <c r="D138" s="15"/>
      <c r="E138" s="13"/>
    </row>
    <row r="139" spans="1:5" ht="14.25" customHeight="1" x14ac:dyDescent="0.3">
      <c r="A139" s="13"/>
      <c r="B139" s="13"/>
      <c r="C139" s="13"/>
      <c r="D139" s="15"/>
      <c r="E139" s="13"/>
    </row>
    <row r="140" spans="1:5" ht="14.25" customHeight="1" x14ac:dyDescent="0.3">
      <c r="A140" s="13"/>
      <c r="B140" s="13"/>
      <c r="C140" s="13"/>
      <c r="D140" s="15"/>
      <c r="E140" s="13"/>
    </row>
    <row r="141" spans="1:5" ht="14.25" customHeight="1" x14ac:dyDescent="0.3">
      <c r="A141" s="13"/>
      <c r="B141" s="13"/>
      <c r="C141" s="13"/>
      <c r="D141" s="15"/>
      <c r="E141" s="13"/>
    </row>
    <row r="142" spans="1:5" ht="14.25" customHeight="1" x14ac:dyDescent="0.3">
      <c r="A142" s="13"/>
      <c r="B142" s="13"/>
      <c r="C142" s="13"/>
      <c r="D142" s="15"/>
      <c r="E142" s="13"/>
    </row>
    <row r="143" spans="1:5" ht="14.25" customHeight="1" x14ac:dyDescent="0.3">
      <c r="A143" s="13"/>
      <c r="B143" s="13"/>
      <c r="C143" s="13"/>
      <c r="D143" s="15"/>
      <c r="E143" s="13"/>
    </row>
    <row r="144" spans="1:5" ht="14.25" customHeight="1" x14ac:dyDescent="0.3">
      <c r="A144" s="13"/>
      <c r="B144" s="13"/>
      <c r="C144" s="13"/>
      <c r="D144" s="15"/>
      <c r="E144" s="13"/>
    </row>
    <row r="145" spans="1:5" ht="14.25" customHeight="1" x14ac:dyDescent="0.3">
      <c r="A145" s="13"/>
      <c r="B145" s="13"/>
      <c r="C145" s="13"/>
      <c r="D145" s="15"/>
      <c r="E145" s="13"/>
    </row>
    <row r="146" spans="1:5" ht="14.25" customHeight="1" x14ac:dyDescent="0.3">
      <c r="A146" s="13"/>
      <c r="B146" s="13"/>
      <c r="C146" s="13"/>
      <c r="D146" s="15"/>
      <c r="E146" s="13"/>
    </row>
    <row r="147" spans="1:5" ht="14.25" customHeight="1" x14ac:dyDescent="0.3">
      <c r="A147" s="13"/>
      <c r="B147" s="13"/>
      <c r="C147" s="13"/>
      <c r="D147" s="15"/>
      <c r="E147" s="13"/>
    </row>
    <row r="148" spans="1:5" ht="14.25" customHeight="1" x14ac:dyDescent="0.3">
      <c r="A148" s="13"/>
      <c r="B148" s="13"/>
      <c r="C148" s="13"/>
      <c r="D148" s="15"/>
      <c r="E148" s="13"/>
    </row>
    <row r="149" spans="1:5" ht="14.25" customHeight="1" x14ac:dyDescent="0.3">
      <c r="A149" s="13"/>
      <c r="B149" s="13"/>
      <c r="C149" s="13"/>
      <c r="D149" s="15"/>
      <c r="E149" s="13"/>
    </row>
    <row r="150" spans="1:5" ht="14.25" customHeight="1" x14ac:dyDescent="0.3">
      <c r="A150" s="13"/>
      <c r="B150" s="13"/>
      <c r="C150" s="13"/>
      <c r="D150" s="15"/>
      <c r="E150" s="13"/>
    </row>
    <row r="151" spans="1:5" ht="14.25" customHeight="1" x14ac:dyDescent="0.3">
      <c r="A151" s="13"/>
      <c r="B151" s="13"/>
      <c r="C151" s="13"/>
      <c r="D151" s="15"/>
      <c r="E151" s="13"/>
    </row>
    <row r="152" spans="1:5" ht="14.25" customHeight="1" x14ac:dyDescent="0.3">
      <c r="A152" s="13"/>
      <c r="B152" s="13"/>
      <c r="C152" s="13"/>
      <c r="D152" s="15"/>
      <c r="E152" s="13"/>
    </row>
    <row r="153" spans="1:5" ht="14.25" customHeight="1" x14ac:dyDescent="0.3">
      <c r="A153" s="13"/>
      <c r="B153" s="13"/>
      <c r="C153" s="13"/>
      <c r="D153" s="15"/>
      <c r="E153" s="13"/>
    </row>
    <row r="154" spans="1:5" ht="14.25" customHeight="1" x14ac:dyDescent="0.3">
      <c r="A154" s="13"/>
      <c r="B154" s="13"/>
      <c r="C154" s="13"/>
      <c r="D154" s="15"/>
      <c r="E154" s="13"/>
    </row>
    <row r="155" spans="1:5" ht="14.25" customHeight="1" x14ac:dyDescent="0.3">
      <c r="A155" s="13"/>
      <c r="B155" s="13"/>
      <c r="C155" s="13"/>
      <c r="D155" s="15"/>
      <c r="E155" s="13"/>
    </row>
    <row r="156" spans="1:5" ht="14.25" customHeight="1" x14ac:dyDescent="0.3">
      <c r="A156" s="13"/>
      <c r="B156" s="13"/>
      <c r="C156" s="13"/>
      <c r="D156" s="15"/>
      <c r="E156" s="13"/>
    </row>
    <row r="157" spans="1:5" ht="14.25" customHeight="1" x14ac:dyDescent="0.3">
      <c r="A157" s="13"/>
      <c r="B157" s="13"/>
      <c r="C157" s="13"/>
      <c r="D157" s="15"/>
      <c r="E157" s="13"/>
    </row>
    <row r="158" spans="1:5" ht="14.25" customHeight="1" x14ac:dyDescent="0.3">
      <c r="A158" s="13"/>
      <c r="B158" s="13"/>
      <c r="C158" s="13"/>
      <c r="D158" s="15"/>
      <c r="E158" s="13"/>
    </row>
    <row r="159" spans="1:5" ht="14.25" customHeight="1" x14ac:dyDescent="0.3">
      <c r="A159" s="13"/>
      <c r="B159" s="13"/>
      <c r="C159" s="13"/>
      <c r="D159" s="15"/>
      <c r="E159" s="13"/>
    </row>
    <row r="160" spans="1:5" ht="14.25" customHeight="1" x14ac:dyDescent="0.3">
      <c r="A160" s="13"/>
      <c r="B160" s="13"/>
      <c r="C160" s="13"/>
      <c r="D160" s="15"/>
      <c r="E160" s="13"/>
    </row>
    <row r="161" spans="1:5" ht="14.25" customHeight="1" x14ac:dyDescent="0.3">
      <c r="A161" s="13"/>
      <c r="B161" s="13"/>
      <c r="C161" s="13"/>
      <c r="D161" s="15"/>
      <c r="E161" s="13"/>
    </row>
    <row r="162" spans="1:5" ht="14.25" customHeight="1" x14ac:dyDescent="0.3">
      <c r="A162" s="13"/>
      <c r="B162" s="13"/>
      <c r="C162" s="13"/>
      <c r="D162" s="15"/>
      <c r="E162" s="13"/>
    </row>
    <row r="163" spans="1:5" ht="14.25" customHeight="1" x14ac:dyDescent="0.3">
      <c r="A163" s="13"/>
      <c r="B163" s="13"/>
      <c r="C163" s="13"/>
      <c r="D163" s="15"/>
      <c r="E163" s="13"/>
    </row>
    <row r="164" spans="1:5" ht="14.25" customHeight="1" x14ac:dyDescent="0.3">
      <c r="A164" s="13"/>
      <c r="B164" s="13"/>
      <c r="C164" s="13"/>
      <c r="D164" s="15"/>
      <c r="E164" s="13"/>
    </row>
    <row r="165" spans="1:5" ht="14.25" customHeight="1" x14ac:dyDescent="0.3">
      <c r="A165" s="13"/>
      <c r="B165" s="13"/>
      <c r="C165" s="13"/>
      <c r="D165" s="15"/>
      <c r="E165" s="13"/>
    </row>
    <row r="166" spans="1:5" ht="14.25" customHeight="1" x14ac:dyDescent="0.3">
      <c r="A166" s="13"/>
      <c r="B166" s="13"/>
      <c r="C166" s="13"/>
      <c r="D166" s="15"/>
      <c r="E166" s="13"/>
    </row>
    <row r="167" spans="1:5" ht="14.25" customHeight="1" x14ac:dyDescent="0.3">
      <c r="A167" s="13"/>
      <c r="B167" s="13"/>
      <c r="C167" s="13"/>
      <c r="D167" s="15"/>
      <c r="E167" s="13"/>
    </row>
    <row r="168" spans="1:5" ht="14.25" customHeight="1" x14ac:dyDescent="0.3">
      <c r="A168" s="13"/>
      <c r="B168" s="13"/>
      <c r="C168" s="13"/>
      <c r="D168" s="15"/>
      <c r="E168" s="13"/>
    </row>
    <row r="169" spans="1:5" ht="14.25" customHeight="1" x14ac:dyDescent="0.3">
      <c r="A169" s="13"/>
      <c r="B169" s="13"/>
      <c r="C169" s="13"/>
      <c r="D169" s="15"/>
      <c r="E169" s="13"/>
    </row>
    <row r="170" spans="1:5" ht="14.25" customHeight="1" x14ac:dyDescent="0.3">
      <c r="A170" s="13"/>
      <c r="B170" s="13"/>
      <c r="C170" s="13"/>
      <c r="D170" s="15"/>
      <c r="E170" s="13"/>
    </row>
    <row r="171" spans="1:5" ht="14.25" customHeight="1" x14ac:dyDescent="0.3">
      <c r="A171" s="13"/>
      <c r="B171" s="13"/>
      <c r="C171" s="13"/>
      <c r="D171" s="15"/>
      <c r="E171" s="13"/>
    </row>
    <row r="172" spans="1:5" ht="14.25" customHeight="1" x14ac:dyDescent="0.3">
      <c r="A172" s="13"/>
      <c r="B172" s="13"/>
      <c r="C172" s="13"/>
      <c r="D172" s="15"/>
      <c r="E172" s="13"/>
    </row>
    <row r="173" spans="1:5" ht="14.25" customHeight="1" x14ac:dyDescent="0.3">
      <c r="A173" s="13"/>
      <c r="B173" s="13"/>
      <c r="C173" s="13"/>
      <c r="D173" s="15"/>
      <c r="E173" s="13"/>
    </row>
    <row r="174" spans="1:5" ht="14.25" customHeight="1" x14ac:dyDescent="0.3">
      <c r="A174" s="13"/>
      <c r="B174" s="13"/>
      <c r="C174" s="13"/>
      <c r="D174" s="15"/>
      <c r="E174" s="13"/>
    </row>
    <row r="175" spans="1:5" ht="14.25" customHeight="1" x14ac:dyDescent="0.3">
      <c r="A175" s="13"/>
      <c r="B175" s="13"/>
      <c r="C175" s="13"/>
      <c r="D175" s="15"/>
      <c r="E175" s="13"/>
    </row>
    <row r="176" spans="1:5" ht="14.25" customHeight="1" x14ac:dyDescent="0.3">
      <c r="A176" s="13"/>
      <c r="B176" s="13"/>
      <c r="C176" s="13"/>
      <c r="D176" s="15"/>
      <c r="E176" s="13"/>
    </row>
    <row r="177" spans="1:5" ht="14.25" customHeight="1" x14ac:dyDescent="0.3">
      <c r="A177" s="13"/>
      <c r="B177" s="13"/>
      <c r="C177" s="13"/>
      <c r="D177" s="15"/>
      <c r="E177" s="13"/>
    </row>
    <row r="178" spans="1:5" ht="14.25" customHeight="1" x14ac:dyDescent="0.3">
      <c r="A178" s="13"/>
      <c r="B178" s="13"/>
      <c r="C178" s="13"/>
      <c r="D178" s="15"/>
      <c r="E178" s="13"/>
    </row>
    <row r="179" spans="1:5" ht="14.25" customHeight="1" x14ac:dyDescent="0.3">
      <c r="A179" s="13"/>
      <c r="B179" s="13"/>
      <c r="C179" s="13"/>
      <c r="D179" s="15"/>
      <c r="E179" s="13"/>
    </row>
    <row r="180" spans="1:5" ht="14.25" customHeight="1" x14ac:dyDescent="0.3">
      <c r="A180" s="13"/>
      <c r="B180" s="13"/>
      <c r="C180" s="13"/>
      <c r="D180" s="15"/>
      <c r="E180" s="13"/>
    </row>
    <row r="181" spans="1:5" ht="14.25" customHeight="1" x14ac:dyDescent="0.3">
      <c r="A181" s="13"/>
      <c r="B181" s="13"/>
      <c r="C181" s="13"/>
      <c r="D181" s="15"/>
      <c r="E181" s="13"/>
    </row>
    <row r="182" spans="1:5" ht="14.25" customHeight="1" x14ac:dyDescent="0.3">
      <c r="A182" s="13"/>
      <c r="B182" s="13"/>
      <c r="C182" s="13"/>
      <c r="D182" s="15"/>
      <c r="E182" s="13"/>
    </row>
    <row r="183" spans="1:5" ht="14.25" customHeight="1" x14ac:dyDescent="0.3">
      <c r="A183" s="13"/>
      <c r="B183" s="13"/>
      <c r="C183" s="13"/>
      <c r="D183" s="15"/>
      <c r="E183" s="13"/>
    </row>
    <row r="184" spans="1:5" ht="14.25" customHeight="1" x14ac:dyDescent="0.3">
      <c r="A184" s="13"/>
      <c r="B184" s="13"/>
      <c r="C184" s="13"/>
      <c r="D184" s="15"/>
      <c r="E184" s="13"/>
    </row>
    <row r="185" spans="1:5" ht="14.25" customHeight="1" x14ac:dyDescent="0.3">
      <c r="A185" s="13"/>
      <c r="B185" s="13"/>
      <c r="C185" s="13"/>
      <c r="D185" s="15"/>
      <c r="E185" s="13"/>
    </row>
    <row r="186" spans="1:5" ht="14.25" customHeight="1" x14ac:dyDescent="0.3">
      <c r="A186" s="13"/>
      <c r="B186" s="13"/>
      <c r="C186" s="13"/>
      <c r="D186" s="15"/>
      <c r="E186" s="13"/>
    </row>
    <row r="187" spans="1:5" ht="14.25" customHeight="1" x14ac:dyDescent="0.3">
      <c r="A187" s="13"/>
      <c r="B187" s="13"/>
      <c r="C187" s="13"/>
      <c r="D187" s="15"/>
      <c r="E187" s="13"/>
    </row>
    <row r="188" spans="1:5" ht="14.25" customHeight="1" x14ac:dyDescent="0.3">
      <c r="A188" s="13"/>
      <c r="B188" s="13"/>
      <c r="C188" s="13"/>
      <c r="D188" s="15"/>
      <c r="E188" s="13"/>
    </row>
    <row r="189" spans="1:5" ht="14.25" customHeight="1" x14ac:dyDescent="0.3">
      <c r="A189" s="13"/>
      <c r="B189" s="13"/>
      <c r="C189" s="13"/>
      <c r="D189" s="15"/>
      <c r="E189" s="13"/>
    </row>
    <row r="190" spans="1:5" ht="14.25" customHeight="1" x14ac:dyDescent="0.3">
      <c r="A190" s="13"/>
      <c r="B190" s="13"/>
      <c r="C190" s="13"/>
      <c r="D190" s="15"/>
      <c r="E190" s="13"/>
    </row>
    <row r="191" spans="1:5" ht="14.25" customHeight="1" x14ac:dyDescent="0.3">
      <c r="A191" s="13"/>
      <c r="B191" s="13"/>
      <c r="C191" s="13"/>
      <c r="D191" s="15"/>
      <c r="E191" s="13"/>
    </row>
    <row r="192" spans="1:5" ht="14.25" customHeight="1" x14ac:dyDescent="0.3">
      <c r="A192" s="13"/>
      <c r="B192" s="13"/>
      <c r="C192" s="13"/>
      <c r="D192" s="15"/>
      <c r="E192" s="13"/>
    </row>
    <row r="193" spans="1:5" ht="14.25" customHeight="1" x14ac:dyDescent="0.3">
      <c r="A193" s="13"/>
      <c r="B193" s="13"/>
      <c r="C193" s="13"/>
      <c r="D193" s="15"/>
      <c r="E193" s="13"/>
    </row>
    <row r="194" spans="1:5" ht="14.25" customHeight="1" x14ac:dyDescent="0.3">
      <c r="A194" s="13"/>
      <c r="B194" s="13"/>
      <c r="C194" s="13"/>
      <c r="D194" s="15"/>
      <c r="E194" s="13"/>
    </row>
    <row r="195" spans="1:5" ht="14.25" customHeight="1" x14ac:dyDescent="0.3">
      <c r="A195" s="13"/>
      <c r="B195" s="13"/>
      <c r="C195" s="13"/>
      <c r="D195" s="15"/>
      <c r="E195" s="13"/>
    </row>
    <row r="196" spans="1:5" ht="14.25" customHeight="1" x14ac:dyDescent="0.3">
      <c r="A196" s="13"/>
      <c r="B196" s="13"/>
      <c r="C196" s="13"/>
      <c r="D196" s="15"/>
      <c r="E196" s="13"/>
    </row>
    <row r="197" spans="1:5" ht="14.25" customHeight="1" x14ac:dyDescent="0.3">
      <c r="A197" s="13"/>
      <c r="B197" s="13"/>
      <c r="C197" s="13"/>
      <c r="D197" s="15"/>
      <c r="E197" s="13"/>
    </row>
    <row r="198" spans="1:5" ht="14.25" customHeight="1" x14ac:dyDescent="0.3">
      <c r="A198" s="13"/>
      <c r="B198" s="13"/>
      <c r="C198" s="13"/>
      <c r="D198" s="15"/>
      <c r="E198" s="13"/>
    </row>
    <row r="199" spans="1:5" ht="14.25" customHeight="1" x14ac:dyDescent="0.3">
      <c r="A199" s="13"/>
      <c r="B199" s="13"/>
      <c r="C199" s="13"/>
      <c r="D199" s="15"/>
      <c r="E199" s="13"/>
    </row>
    <row r="200" spans="1:5" ht="14.25" customHeight="1" x14ac:dyDescent="0.3">
      <c r="A200" s="13"/>
      <c r="B200" s="13"/>
      <c r="C200" s="13"/>
      <c r="D200" s="15"/>
      <c r="E200" s="13"/>
    </row>
    <row r="201" spans="1:5" ht="14.25" customHeight="1" x14ac:dyDescent="0.3">
      <c r="A201" s="13"/>
      <c r="B201" s="13"/>
      <c r="C201" s="13"/>
      <c r="D201" s="15"/>
      <c r="E201" s="13"/>
    </row>
    <row r="202" spans="1:5" ht="14.25" customHeight="1" x14ac:dyDescent="0.3">
      <c r="A202" s="13"/>
      <c r="B202" s="13"/>
      <c r="C202" s="13"/>
      <c r="D202" s="15"/>
      <c r="E202" s="13"/>
    </row>
    <row r="203" spans="1:5" ht="14.25" customHeight="1" x14ac:dyDescent="0.3">
      <c r="A203" s="13"/>
      <c r="B203" s="13"/>
      <c r="C203" s="13"/>
      <c r="D203" s="15"/>
      <c r="E203" s="13"/>
    </row>
    <row r="204" spans="1:5" ht="14.25" customHeight="1" x14ac:dyDescent="0.3">
      <c r="A204" s="13"/>
      <c r="B204" s="13"/>
      <c r="C204" s="13"/>
      <c r="D204" s="15"/>
      <c r="E204" s="13"/>
    </row>
    <row r="205" spans="1:5" ht="14.25" customHeight="1" x14ac:dyDescent="0.3">
      <c r="A205" s="13"/>
      <c r="B205" s="13"/>
      <c r="C205" s="13"/>
      <c r="D205" s="15"/>
      <c r="E205" s="13"/>
    </row>
    <row r="206" spans="1:5" ht="14.25" customHeight="1" x14ac:dyDescent="0.3">
      <c r="A206" s="13"/>
      <c r="B206" s="13"/>
      <c r="C206" s="13"/>
      <c r="D206" s="15"/>
      <c r="E206" s="13"/>
    </row>
    <row r="207" spans="1:5" ht="14.25" customHeight="1" x14ac:dyDescent="0.3">
      <c r="A207" s="13"/>
      <c r="B207" s="13"/>
      <c r="C207" s="13"/>
      <c r="D207" s="15"/>
      <c r="E207" s="13"/>
    </row>
    <row r="208" spans="1:5" ht="14.25" customHeight="1" x14ac:dyDescent="0.3">
      <c r="A208" s="13"/>
      <c r="B208" s="13"/>
      <c r="C208" s="13"/>
      <c r="D208" s="15"/>
      <c r="E208" s="13"/>
    </row>
    <row r="209" spans="1:5" ht="14.25" customHeight="1" x14ac:dyDescent="0.3">
      <c r="A209" s="13"/>
      <c r="B209" s="13"/>
      <c r="C209" s="13"/>
      <c r="D209" s="15"/>
      <c r="E209" s="13"/>
    </row>
    <row r="210" spans="1:5" ht="14.25" customHeight="1" x14ac:dyDescent="0.3">
      <c r="A210" s="13"/>
      <c r="B210" s="13"/>
      <c r="C210" s="13"/>
      <c r="D210" s="15"/>
      <c r="E210" s="13"/>
    </row>
    <row r="211" spans="1:5" ht="14.25" customHeight="1" x14ac:dyDescent="0.3">
      <c r="A211" s="13"/>
      <c r="B211" s="13"/>
      <c r="C211" s="13"/>
      <c r="D211" s="15"/>
      <c r="E211" s="13"/>
    </row>
    <row r="212" spans="1:5" ht="14.25" customHeight="1" x14ac:dyDescent="0.3">
      <c r="A212" s="13"/>
      <c r="B212" s="13"/>
      <c r="C212" s="13"/>
      <c r="D212" s="15"/>
      <c r="E212" s="13"/>
    </row>
    <row r="213" spans="1:5" ht="14.25" customHeight="1" x14ac:dyDescent="0.3">
      <c r="A213" s="13"/>
      <c r="B213" s="13"/>
      <c r="C213" s="13"/>
      <c r="D213" s="15"/>
      <c r="E213" s="13"/>
    </row>
    <row r="214" spans="1:5" ht="14.25" customHeight="1" x14ac:dyDescent="0.3">
      <c r="A214" s="13"/>
      <c r="B214" s="13"/>
      <c r="C214" s="13"/>
      <c r="D214" s="15"/>
      <c r="E214" s="13"/>
    </row>
    <row r="215" spans="1:5" ht="14.25" customHeight="1" x14ac:dyDescent="0.3">
      <c r="A215" s="13"/>
      <c r="B215" s="13"/>
      <c r="C215" s="13"/>
      <c r="D215" s="15"/>
      <c r="E215" s="13"/>
    </row>
    <row r="216" spans="1:5" ht="14.25" customHeight="1" x14ac:dyDescent="0.3">
      <c r="A216" s="13"/>
      <c r="B216" s="13"/>
      <c r="C216" s="13"/>
      <c r="D216" s="15"/>
      <c r="E216" s="13"/>
    </row>
    <row r="217" spans="1:5" ht="14.25" customHeight="1" x14ac:dyDescent="0.3">
      <c r="A217" s="13"/>
      <c r="B217" s="13"/>
      <c r="C217" s="13"/>
      <c r="D217" s="15"/>
      <c r="E217" s="13"/>
    </row>
    <row r="218" spans="1:5" ht="14.25" customHeight="1" x14ac:dyDescent="0.3">
      <c r="A218" s="13"/>
      <c r="B218" s="13"/>
      <c r="C218" s="13"/>
      <c r="D218" s="15"/>
      <c r="E218" s="13"/>
    </row>
    <row r="219" spans="1:5" ht="14.25" customHeight="1" x14ac:dyDescent="0.3">
      <c r="A219" s="13"/>
      <c r="B219" s="13"/>
      <c r="C219" s="13"/>
      <c r="D219" s="15"/>
      <c r="E219" s="13"/>
    </row>
    <row r="220" spans="1:5" ht="14.25" customHeight="1" x14ac:dyDescent="0.3">
      <c r="A220" s="13"/>
      <c r="B220" s="13"/>
      <c r="C220" s="13"/>
      <c r="D220" s="15"/>
      <c r="E220" s="13"/>
    </row>
    <row r="221" spans="1:5" ht="14.25" customHeight="1" x14ac:dyDescent="0.3">
      <c r="A221" s="13"/>
      <c r="B221" s="13"/>
      <c r="C221" s="13"/>
      <c r="D221" s="15"/>
      <c r="E221" s="13"/>
    </row>
    <row r="222" spans="1:5" ht="14.25" customHeight="1" x14ac:dyDescent="0.3">
      <c r="A222" s="13"/>
      <c r="B222" s="13"/>
      <c r="C222" s="13"/>
      <c r="D222" s="15"/>
      <c r="E222" s="13"/>
    </row>
    <row r="223" spans="1:5" ht="14.25" customHeight="1" x14ac:dyDescent="0.3">
      <c r="A223" s="13"/>
      <c r="B223" s="13"/>
      <c r="C223" s="13"/>
      <c r="D223" s="15"/>
      <c r="E223" s="13"/>
    </row>
    <row r="224" spans="1:5" ht="14.25" customHeight="1" x14ac:dyDescent="0.3">
      <c r="A224" s="13"/>
      <c r="B224" s="13"/>
      <c r="C224" s="13"/>
      <c r="D224" s="15"/>
      <c r="E224" s="13"/>
    </row>
    <row r="225" spans="1:5" ht="14.25" customHeight="1" x14ac:dyDescent="0.3">
      <c r="A225" s="13"/>
      <c r="B225" s="13"/>
      <c r="C225" s="13"/>
      <c r="D225" s="15"/>
      <c r="E225" s="13"/>
    </row>
    <row r="226" spans="1:5" ht="14.25" customHeight="1" x14ac:dyDescent="0.3">
      <c r="A226" s="13"/>
      <c r="B226" s="13"/>
      <c r="C226" s="13"/>
      <c r="D226" s="15"/>
      <c r="E226" s="13"/>
    </row>
    <row r="227" spans="1:5" ht="14.25" customHeight="1" x14ac:dyDescent="0.3">
      <c r="A227" s="13"/>
      <c r="B227" s="13"/>
      <c r="C227" s="13"/>
      <c r="D227" s="15"/>
      <c r="E227" s="13"/>
    </row>
    <row r="228" spans="1:5" ht="14.25" customHeight="1" x14ac:dyDescent="0.3">
      <c r="A228" s="13"/>
      <c r="B228" s="13"/>
      <c r="C228" s="13"/>
      <c r="D228" s="15"/>
      <c r="E228" s="13"/>
    </row>
    <row r="229" spans="1:5" ht="14.25" customHeight="1" x14ac:dyDescent="0.3">
      <c r="A229" s="13"/>
      <c r="B229" s="13"/>
      <c r="C229" s="13"/>
      <c r="D229" s="15"/>
      <c r="E229" s="13"/>
    </row>
    <row r="230" spans="1:5" ht="14.25" customHeight="1" x14ac:dyDescent="0.3">
      <c r="A230" s="13"/>
      <c r="B230" s="13"/>
      <c r="C230" s="13"/>
      <c r="D230" s="15"/>
      <c r="E230" s="13"/>
    </row>
    <row r="231" spans="1:5" ht="14.25" customHeight="1" x14ac:dyDescent="0.3">
      <c r="A231" s="13"/>
      <c r="B231" s="13"/>
      <c r="C231" s="13"/>
      <c r="D231" s="15"/>
      <c r="E231" s="13"/>
    </row>
    <row r="232" spans="1:5" ht="14.25" customHeight="1" x14ac:dyDescent="0.3">
      <c r="A232" s="13"/>
      <c r="B232" s="13"/>
      <c r="C232" s="13"/>
      <c r="D232" s="15"/>
      <c r="E232" s="13"/>
    </row>
    <row r="233" spans="1:5" ht="14.25" customHeight="1" x14ac:dyDescent="0.3">
      <c r="A233" s="13"/>
      <c r="B233" s="13"/>
      <c r="C233" s="13"/>
      <c r="D233" s="15"/>
      <c r="E233" s="13"/>
    </row>
    <row r="234" spans="1:5" ht="14.25" customHeight="1" x14ac:dyDescent="0.3">
      <c r="A234" s="13"/>
      <c r="B234" s="13"/>
      <c r="C234" s="13"/>
      <c r="D234" s="15"/>
      <c r="E234" s="13"/>
    </row>
    <row r="235" spans="1:5" ht="14.25" customHeight="1" x14ac:dyDescent="0.3">
      <c r="A235" s="13"/>
      <c r="B235" s="13"/>
      <c r="C235" s="13"/>
      <c r="D235" s="15"/>
      <c r="E235" s="13"/>
    </row>
    <row r="236" spans="1:5" ht="14.25" customHeight="1" x14ac:dyDescent="0.3">
      <c r="A236" s="13"/>
      <c r="B236" s="13"/>
      <c r="C236" s="13"/>
      <c r="D236" s="15"/>
      <c r="E236" s="13"/>
    </row>
    <row r="237" spans="1:5" ht="14.25" customHeight="1" x14ac:dyDescent="0.3">
      <c r="A237" s="13"/>
      <c r="B237" s="13"/>
      <c r="C237" s="13"/>
      <c r="D237" s="15"/>
      <c r="E237" s="13"/>
    </row>
    <row r="238" spans="1:5" ht="14.25" customHeight="1" x14ac:dyDescent="0.3">
      <c r="A238" s="13"/>
      <c r="B238" s="13"/>
      <c r="C238" s="13"/>
      <c r="D238" s="15"/>
      <c r="E238" s="13"/>
    </row>
    <row r="239" spans="1:5" ht="14.25" customHeight="1" x14ac:dyDescent="0.3">
      <c r="A239" s="13"/>
      <c r="B239" s="13"/>
      <c r="C239" s="13"/>
      <c r="D239" s="15"/>
      <c r="E239" s="13"/>
    </row>
    <row r="240" spans="1:5" ht="14.25" customHeight="1" x14ac:dyDescent="0.3">
      <c r="A240" s="13"/>
      <c r="B240" s="13"/>
      <c r="C240" s="13"/>
      <c r="D240" s="15"/>
      <c r="E240" s="13"/>
    </row>
    <row r="241" spans="1:5" ht="14.25" customHeight="1" x14ac:dyDescent="0.3">
      <c r="A241" s="13"/>
      <c r="B241" s="13"/>
      <c r="C241" s="13"/>
      <c r="D241" s="15"/>
      <c r="E241" s="13"/>
    </row>
    <row r="242" spans="1:5" ht="14.25" customHeight="1" x14ac:dyDescent="0.3">
      <c r="A242" s="13"/>
      <c r="B242" s="13"/>
      <c r="C242" s="13"/>
      <c r="D242" s="15"/>
      <c r="E242" s="13"/>
    </row>
    <row r="243" spans="1:5" ht="14.25" customHeight="1" x14ac:dyDescent="0.3">
      <c r="A243" s="13"/>
      <c r="B243" s="13"/>
      <c r="C243" s="13"/>
      <c r="D243" s="15"/>
      <c r="E243" s="13"/>
    </row>
    <row r="244" spans="1:5" ht="14.25" customHeight="1" x14ac:dyDescent="0.3">
      <c r="A244" s="13"/>
      <c r="B244" s="13"/>
      <c r="C244" s="13"/>
      <c r="D244" s="15"/>
      <c r="E244" s="13"/>
    </row>
    <row r="245" spans="1:5" ht="14.25" customHeight="1" x14ac:dyDescent="0.3">
      <c r="A245" s="13"/>
      <c r="B245" s="13"/>
      <c r="C245" s="13"/>
      <c r="D245" s="15"/>
      <c r="E245" s="13"/>
    </row>
    <row r="246" spans="1:5" ht="14.25" customHeight="1" x14ac:dyDescent="0.3">
      <c r="A246" s="13"/>
      <c r="B246" s="13"/>
      <c r="C246" s="13"/>
      <c r="D246" s="15"/>
      <c r="E246" s="13"/>
    </row>
    <row r="247" spans="1:5" ht="14.25" customHeight="1" x14ac:dyDescent="0.3">
      <c r="A247" s="13"/>
      <c r="B247" s="13"/>
      <c r="C247" s="13"/>
      <c r="D247" s="15"/>
      <c r="E247" s="13"/>
    </row>
    <row r="248" spans="1:5" ht="14.25" customHeight="1" x14ac:dyDescent="0.3">
      <c r="A248" s="13"/>
      <c r="B248" s="13"/>
      <c r="C248" s="13"/>
      <c r="D248" s="15"/>
      <c r="E248" s="13"/>
    </row>
    <row r="249" spans="1:5" ht="14.25" customHeight="1" x14ac:dyDescent="0.3">
      <c r="A249" s="13"/>
      <c r="B249" s="13"/>
      <c r="C249" s="13"/>
      <c r="D249" s="15"/>
      <c r="E249" s="13"/>
    </row>
    <row r="250" spans="1:5" ht="14.25" customHeight="1" x14ac:dyDescent="0.3">
      <c r="A250" s="13"/>
      <c r="B250" s="13"/>
      <c r="C250" s="13"/>
      <c r="D250" s="15"/>
      <c r="E250" s="13"/>
    </row>
    <row r="251" spans="1:5" ht="14.25" customHeight="1" x14ac:dyDescent="0.3">
      <c r="A251" s="13"/>
      <c r="B251" s="13"/>
      <c r="C251" s="13"/>
      <c r="D251" s="15"/>
      <c r="E251" s="13"/>
    </row>
    <row r="252" spans="1:5" ht="14.25" customHeight="1" x14ac:dyDescent="0.3">
      <c r="A252" s="13"/>
      <c r="B252" s="13"/>
      <c r="C252" s="13"/>
      <c r="D252" s="15"/>
      <c r="E252" s="13"/>
    </row>
    <row r="253" spans="1:5" ht="14.25" customHeight="1" x14ac:dyDescent="0.3">
      <c r="A253" s="13"/>
      <c r="B253" s="13"/>
      <c r="C253" s="13"/>
      <c r="D253" s="15"/>
      <c r="E253" s="13"/>
    </row>
    <row r="254" spans="1:5" ht="14.25" customHeight="1" x14ac:dyDescent="0.3">
      <c r="A254" s="13"/>
      <c r="B254" s="13"/>
      <c r="C254" s="13"/>
      <c r="D254" s="15"/>
      <c r="E254" s="13"/>
    </row>
    <row r="255" spans="1:5" ht="14.25" customHeight="1" x14ac:dyDescent="0.3">
      <c r="A255" s="13"/>
      <c r="B255" s="13"/>
      <c r="C255" s="13"/>
      <c r="D255" s="15"/>
      <c r="E255" s="13"/>
    </row>
    <row r="256" spans="1:5" ht="14.25" customHeight="1" x14ac:dyDescent="0.3">
      <c r="A256" s="13"/>
      <c r="B256" s="13"/>
      <c r="C256" s="13"/>
      <c r="D256" s="15"/>
      <c r="E256" s="13"/>
    </row>
    <row r="257" spans="1:5" ht="14.25" customHeight="1" x14ac:dyDescent="0.3">
      <c r="A257" s="13"/>
      <c r="B257" s="13"/>
      <c r="C257" s="13"/>
      <c r="D257" s="15"/>
      <c r="E257" s="13"/>
    </row>
    <row r="258" spans="1:5" ht="14.25" customHeight="1" x14ac:dyDescent="0.3">
      <c r="A258" s="13"/>
      <c r="B258" s="13"/>
      <c r="C258" s="13"/>
      <c r="D258" s="15"/>
      <c r="E258" s="13"/>
    </row>
    <row r="259" spans="1:5" ht="14.25" customHeight="1" x14ac:dyDescent="0.3">
      <c r="A259" s="13"/>
      <c r="B259" s="13"/>
      <c r="C259" s="13"/>
      <c r="D259" s="15"/>
      <c r="E259" s="13"/>
    </row>
    <row r="260" spans="1:5" ht="14.25" customHeight="1" x14ac:dyDescent="0.3">
      <c r="A260" s="13"/>
      <c r="B260" s="13"/>
      <c r="C260" s="13"/>
      <c r="D260" s="15"/>
      <c r="E260" s="13"/>
    </row>
    <row r="261" spans="1:5" ht="14.25" customHeight="1" x14ac:dyDescent="0.3">
      <c r="A261" s="13"/>
      <c r="B261" s="13"/>
      <c r="C261" s="13"/>
      <c r="D261" s="15"/>
      <c r="E261" s="13"/>
    </row>
    <row r="262" spans="1:5" ht="14.25" customHeight="1" x14ac:dyDescent="0.3">
      <c r="A262" s="13"/>
      <c r="B262" s="13"/>
      <c r="C262" s="13"/>
      <c r="D262" s="15"/>
      <c r="E262" s="13"/>
    </row>
    <row r="263" spans="1:5" ht="14.25" customHeight="1" x14ac:dyDescent="0.3">
      <c r="A263" s="13"/>
      <c r="B263" s="13"/>
      <c r="C263" s="13"/>
      <c r="D263" s="15"/>
      <c r="E263" s="13"/>
    </row>
    <row r="264" spans="1:5" ht="14.25" customHeight="1" x14ac:dyDescent="0.3">
      <c r="A264" s="13"/>
      <c r="B264" s="13"/>
      <c r="C264" s="13"/>
      <c r="D264" s="15"/>
      <c r="E264" s="13"/>
    </row>
    <row r="265" spans="1:5" ht="14.25" customHeight="1" x14ac:dyDescent="0.3">
      <c r="A265" s="13"/>
      <c r="B265" s="13"/>
      <c r="C265" s="13"/>
      <c r="D265" s="15"/>
      <c r="E265" s="13"/>
    </row>
    <row r="266" spans="1:5" ht="14.25" customHeight="1" x14ac:dyDescent="0.3">
      <c r="A266" s="13"/>
      <c r="B266" s="13"/>
      <c r="C266" s="13"/>
      <c r="D266" s="15"/>
      <c r="E266" s="13"/>
    </row>
    <row r="267" spans="1:5" ht="14.25" customHeight="1" x14ac:dyDescent="0.3">
      <c r="A267" s="13"/>
      <c r="B267" s="13"/>
      <c r="C267" s="13"/>
      <c r="D267" s="15"/>
      <c r="E267" s="13"/>
    </row>
    <row r="268" spans="1:5" ht="14.25" customHeight="1" x14ac:dyDescent="0.3">
      <c r="A268" s="13"/>
      <c r="B268" s="13"/>
      <c r="C268" s="13"/>
      <c r="D268" s="15"/>
      <c r="E268" s="13"/>
    </row>
    <row r="269" spans="1:5" ht="14.25" customHeight="1" x14ac:dyDescent="0.3">
      <c r="A269" s="13"/>
      <c r="B269" s="13"/>
      <c r="C269" s="13"/>
      <c r="D269" s="15"/>
      <c r="E269" s="13"/>
    </row>
    <row r="270" spans="1:5" ht="14.25" customHeight="1" x14ac:dyDescent="0.3">
      <c r="A270" s="13"/>
      <c r="B270" s="13"/>
      <c r="C270" s="13"/>
      <c r="D270" s="15"/>
      <c r="E270" s="13"/>
    </row>
    <row r="271" spans="1:5" ht="14.25" customHeight="1" x14ac:dyDescent="0.3">
      <c r="A271" s="13"/>
      <c r="B271" s="13"/>
      <c r="C271" s="13"/>
      <c r="D271" s="15"/>
      <c r="E271" s="13"/>
    </row>
    <row r="272" spans="1:5" ht="14.25" customHeight="1" x14ac:dyDescent="0.3">
      <c r="A272" s="13"/>
      <c r="B272" s="13"/>
      <c r="C272" s="13"/>
      <c r="D272" s="15"/>
      <c r="E272" s="13"/>
    </row>
    <row r="273" spans="1:5" ht="14.25" customHeight="1" x14ac:dyDescent="0.3">
      <c r="A273" s="13"/>
      <c r="B273" s="13"/>
      <c r="C273" s="13"/>
      <c r="D273" s="15"/>
      <c r="E273" s="13"/>
    </row>
    <row r="274" spans="1:5" ht="14.25" customHeight="1" x14ac:dyDescent="0.3">
      <c r="A274" s="13"/>
      <c r="B274" s="13"/>
      <c r="C274" s="13"/>
      <c r="D274" s="15"/>
      <c r="E274" s="13"/>
    </row>
    <row r="275" spans="1:5" ht="14.25" customHeight="1" x14ac:dyDescent="0.3">
      <c r="A275" s="13"/>
      <c r="B275" s="13"/>
      <c r="C275" s="13"/>
      <c r="D275" s="15"/>
      <c r="E275" s="13"/>
    </row>
    <row r="276" spans="1:5" ht="14.25" customHeight="1" x14ac:dyDescent="0.3">
      <c r="A276" s="13"/>
      <c r="B276" s="13"/>
      <c r="C276" s="13"/>
      <c r="D276" s="15"/>
      <c r="E276" s="13"/>
    </row>
    <row r="277" spans="1:5" ht="14.25" customHeight="1" x14ac:dyDescent="0.3">
      <c r="A277" s="13"/>
      <c r="B277" s="13"/>
      <c r="C277" s="13"/>
      <c r="D277" s="15"/>
      <c r="E277" s="13"/>
    </row>
    <row r="278" spans="1:5" ht="14.25" customHeight="1" x14ac:dyDescent="0.3">
      <c r="A278" s="13"/>
      <c r="B278" s="13"/>
      <c r="C278" s="13"/>
      <c r="D278" s="15"/>
      <c r="E278" s="13"/>
    </row>
    <row r="279" spans="1:5" ht="14.25" customHeight="1" x14ac:dyDescent="0.3">
      <c r="A279" s="13"/>
      <c r="B279" s="13"/>
      <c r="C279" s="13"/>
      <c r="D279" s="15"/>
      <c r="E279" s="13"/>
    </row>
    <row r="280" spans="1:5" ht="14.25" customHeight="1" x14ac:dyDescent="0.3">
      <c r="A280" s="13"/>
      <c r="B280" s="13"/>
      <c r="C280" s="13"/>
      <c r="D280" s="15"/>
      <c r="E280" s="13"/>
    </row>
    <row r="281" spans="1:5" ht="14.25" customHeight="1" x14ac:dyDescent="0.3">
      <c r="A281" s="13"/>
      <c r="B281" s="13"/>
      <c r="C281" s="13"/>
      <c r="D281" s="15"/>
      <c r="E281" s="13"/>
    </row>
    <row r="282" spans="1:5" ht="14.25" customHeight="1" x14ac:dyDescent="0.3">
      <c r="A282" s="13"/>
      <c r="B282" s="13"/>
      <c r="C282" s="13"/>
      <c r="D282" s="15"/>
      <c r="E282" s="13"/>
    </row>
    <row r="283" spans="1:5" ht="14.25" customHeight="1" x14ac:dyDescent="0.3">
      <c r="A283" s="13"/>
      <c r="B283" s="13"/>
      <c r="C283" s="13"/>
      <c r="D283" s="15"/>
      <c r="E283" s="13"/>
    </row>
    <row r="284" spans="1:5" ht="14.25" customHeight="1" x14ac:dyDescent="0.3">
      <c r="A284" s="13"/>
      <c r="B284" s="13"/>
      <c r="C284" s="13"/>
      <c r="D284" s="15"/>
      <c r="E284" s="13"/>
    </row>
    <row r="285" spans="1:5" ht="14.25" customHeight="1" x14ac:dyDescent="0.3">
      <c r="A285" s="13"/>
      <c r="B285" s="13"/>
      <c r="C285" s="13"/>
      <c r="D285" s="15"/>
      <c r="E285" s="13"/>
    </row>
    <row r="286" spans="1:5" ht="14.25" customHeight="1" x14ac:dyDescent="0.3">
      <c r="A286" s="13"/>
      <c r="B286" s="13"/>
      <c r="C286" s="13"/>
      <c r="D286" s="15"/>
      <c r="E286" s="13"/>
    </row>
    <row r="287" spans="1:5" ht="14.25" customHeight="1" x14ac:dyDescent="0.3">
      <c r="A287" s="13"/>
      <c r="B287" s="13"/>
      <c r="C287" s="13"/>
      <c r="D287" s="15"/>
      <c r="E287" s="13"/>
    </row>
    <row r="288" spans="1:5" ht="14.25" customHeight="1" x14ac:dyDescent="0.3">
      <c r="A288" s="13"/>
      <c r="B288" s="13"/>
      <c r="C288" s="13"/>
      <c r="D288" s="15"/>
      <c r="E288" s="13"/>
    </row>
    <row r="289" spans="1:5" ht="14.25" customHeight="1" x14ac:dyDescent="0.3">
      <c r="A289" s="13"/>
      <c r="B289" s="13"/>
      <c r="C289" s="13"/>
      <c r="D289" s="15"/>
      <c r="E289" s="13"/>
    </row>
    <row r="290" spans="1:5" ht="14.25" customHeight="1" x14ac:dyDescent="0.3">
      <c r="A290" s="13"/>
      <c r="B290" s="13"/>
      <c r="C290" s="13"/>
      <c r="D290" s="15"/>
      <c r="E290" s="13"/>
    </row>
    <row r="291" spans="1:5" ht="14.25" customHeight="1" x14ac:dyDescent="0.3">
      <c r="A291" s="13"/>
      <c r="B291" s="13"/>
      <c r="C291" s="13"/>
      <c r="D291" s="15"/>
      <c r="E291" s="13"/>
    </row>
    <row r="292" spans="1:5" ht="14.25" customHeight="1" x14ac:dyDescent="0.3">
      <c r="A292" s="13"/>
      <c r="B292" s="13"/>
      <c r="C292" s="13"/>
      <c r="D292" s="15"/>
      <c r="E292" s="13"/>
    </row>
    <row r="293" spans="1:5" ht="14.25" customHeight="1" x14ac:dyDescent="0.3">
      <c r="A293" s="13"/>
      <c r="B293" s="13"/>
      <c r="C293" s="13"/>
      <c r="D293" s="15"/>
      <c r="E293" s="13"/>
    </row>
    <row r="294" spans="1:5" ht="14.25" customHeight="1" x14ac:dyDescent="0.3">
      <c r="A294" s="13"/>
      <c r="B294" s="13"/>
      <c r="C294" s="13"/>
      <c r="D294" s="15"/>
      <c r="E294" s="13"/>
    </row>
    <row r="295" spans="1:5" ht="14.25" customHeight="1" x14ac:dyDescent="0.3">
      <c r="A295" s="13"/>
      <c r="B295" s="13"/>
      <c r="C295" s="13"/>
      <c r="D295" s="15"/>
      <c r="E295" s="13"/>
    </row>
    <row r="296" spans="1:5" ht="14.25" customHeight="1" x14ac:dyDescent="0.3">
      <c r="A296" s="13"/>
      <c r="B296" s="13"/>
      <c r="C296" s="13"/>
      <c r="D296" s="15"/>
      <c r="E296" s="13"/>
    </row>
    <row r="297" spans="1:5" ht="14.25" customHeight="1" x14ac:dyDescent="0.3">
      <c r="A297" s="13"/>
      <c r="B297" s="13"/>
      <c r="C297" s="13"/>
      <c r="D297" s="15"/>
      <c r="E297" s="13"/>
    </row>
    <row r="298" spans="1:5" ht="14.25" customHeight="1" x14ac:dyDescent="0.3">
      <c r="A298" s="13"/>
      <c r="B298" s="13"/>
      <c r="C298" s="13"/>
      <c r="D298" s="15"/>
      <c r="E298" s="13"/>
    </row>
    <row r="299" spans="1:5" ht="14.25" customHeight="1" x14ac:dyDescent="0.3">
      <c r="A299" s="13"/>
      <c r="B299" s="13"/>
      <c r="C299" s="13"/>
      <c r="D299" s="15"/>
      <c r="E299" s="13"/>
    </row>
    <row r="300" spans="1:5" ht="14.25" customHeight="1" x14ac:dyDescent="0.3">
      <c r="A300" s="13"/>
      <c r="B300" s="13"/>
      <c r="C300" s="13"/>
      <c r="D300" s="15"/>
      <c r="E300" s="13"/>
    </row>
    <row r="301" spans="1:5" ht="14.25" customHeight="1" x14ac:dyDescent="0.3">
      <c r="A301" s="13"/>
      <c r="B301" s="13"/>
      <c r="C301" s="13"/>
      <c r="D301" s="15"/>
      <c r="E301" s="13"/>
    </row>
    <row r="302" spans="1:5" ht="14.25" customHeight="1" x14ac:dyDescent="0.3">
      <c r="A302" s="13"/>
      <c r="B302" s="13"/>
      <c r="C302" s="13"/>
      <c r="D302" s="15"/>
      <c r="E302" s="13"/>
    </row>
    <row r="303" spans="1:5" ht="14.25" customHeight="1" x14ac:dyDescent="0.3">
      <c r="A303" s="13"/>
      <c r="B303" s="13"/>
      <c r="C303" s="13"/>
      <c r="D303" s="15"/>
      <c r="E303" s="13"/>
    </row>
    <row r="304" spans="1:5" ht="14.25" customHeight="1" x14ac:dyDescent="0.3">
      <c r="A304" s="13"/>
      <c r="B304" s="13"/>
      <c r="C304" s="13"/>
      <c r="D304" s="15"/>
      <c r="E304" s="13"/>
    </row>
    <row r="305" spans="1:5" ht="14.25" customHeight="1" x14ac:dyDescent="0.3">
      <c r="A305" s="13"/>
      <c r="B305" s="13"/>
      <c r="C305" s="13"/>
      <c r="D305" s="15"/>
      <c r="E305" s="13"/>
    </row>
    <row r="306" spans="1:5" ht="14.25" customHeight="1" x14ac:dyDescent="0.3">
      <c r="A306" s="13"/>
      <c r="B306" s="13"/>
      <c r="C306" s="13"/>
      <c r="D306" s="15"/>
      <c r="E306" s="13"/>
    </row>
    <row r="307" spans="1:5" ht="14.25" customHeight="1" x14ac:dyDescent="0.3">
      <c r="A307" s="13"/>
      <c r="B307" s="13"/>
      <c r="C307" s="13"/>
      <c r="D307" s="15"/>
      <c r="E307" s="13"/>
    </row>
    <row r="308" spans="1:5" ht="14.25" customHeight="1" x14ac:dyDescent="0.3">
      <c r="A308" s="13"/>
      <c r="B308" s="13"/>
      <c r="C308" s="13"/>
      <c r="D308" s="15"/>
      <c r="E308" s="13"/>
    </row>
    <row r="309" spans="1:5" ht="14.25" customHeight="1" x14ac:dyDescent="0.3">
      <c r="A309" s="13"/>
      <c r="B309" s="13"/>
      <c r="C309" s="13"/>
      <c r="D309" s="15"/>
      <c r="E309" s="13"/>
    </row>
    <row r="310" spans="1:5" ht="14.25" customHeight="1" x14ac:dyDescent="0.3">
      <c r="A310" s="13"/>
      <c r="B310" s="13"/>
      <c r="C310" s="13"/>
      <c r="D310" s="15"/>
      <c r="E310" s="13"/>
    </row>
    <row r="311" spans="1:5" ht="14.25" customHeight="1" x14ac:dyDescent="0.3">
      <c r="A311" s="13"/>
      <c r="B311" s="13"/>
      <c r="C311" s="13"/>
      <c r="D311" s="15"/>
      <c r="E311" s="13"/>
    </row>
    <row r="312" spans="1:5" ht="14.25" customHeight="1" x14ac:dyDescent="0.3">
      <c r="A312" s="13"/>
      <c r="B312" s="13"/>
      <c r="C312" s="13"/>
      <c r="D312" s="15"/>
      <c r="E312" s="13"/>
    </row>
    <row r="313" spans="1:5" ht="14.25" customHeight="1" x14ac:dyDescent="0.3">
      <c r="A313" s="13"/>
      <c r="B313" s="13"/>
      <c r="C313" s="13"/>
      <c r="D313" s="15"/>
      <c r="E313" s="13"/>
    </row>
    <row r="314" spans="1:5" ht="14.25" customHeight="1" x14ac:dyDescent="0.3">
      <c r="A314" s="13"/>
      <c r="B314" s="13"/>
      <c r="C314" s="13"/>
      <c r="D314" s="15"/>
      <c r="E314" s="13"/>
    </row>
    <row r="315" spans="1:5" ht="14.25" customHeight="1" x14ac:dyDescent="0.3">
      <c r="A315" s="13"/>
      <c r="B315" s="13"/>
      <c r="C315" s="13"/>
      <c r="D315" s="15"/>
      <c r="E315" s="13"/>
    </row>
    <row r="316" spans="1:5" ht="14.25" customHeight="1" x14ac:dyDescent="0.3">
      <c r="A316" s="13"/>
      <c r="B316" s="13"/>
      <c r="C316" s="13"/>
      <c r="D316" s="15"/>
      <c r="E316" s="13"/>
    </row>
    <row r="317" spans="1:5" ht="14.25" customHeight="1" x14ac:dyDescent="0.3">
      <c r="A317" s="13"/>
      <c r="B317" s="13"/>
      <c r="C317" s="13"/>
      <c r="D317" s="15"/>
      <c r="E317" s="13"/>
    </row>
    <row r="318" spans="1:5" ht="14.25" customHeight="1" x14ac:dyDescent="0.3">
      <c r="A318" s="13"/>
      <c r="B318" s="13"/>
      <c r="C318" s="13"/>
      <c r="D318" s="15"/>
      <c r="E318" s="13"/>
    </row>
    <row r="319" spans="1:5" ht="14.25" customHeight="1" x14ac:dyDescent="0.3">
      <c r="A319" s="13"/>
      <c r="B319" s="13"/>
      <c r="C319" s="13"/>
      <c r="D319" s="15"/>
      <c r="E319" s="13"/>
    </row>
    <row r="320" spans="1:5" ht="14.25" customHeight="1" x14ac:dyDescent="0.3">
      <c r="A320" s="13"/>
      <c r="B320" s="13"/>
      <c r="C320" s="13"/>
      <c r="D320" s="15"/>
      <c r="E320" s="13"/>
    </row>
    <row r="321" spans="1:5" ht="14.25" customHeight="1" x14ac:dyDescent="0.3">
      <c r="A321" s="13"/>
      <c r="B321" s="13"/>
      <c r="C321" s="13"/>
      <c r="D321" s="15"/>
      <c r="E321" s="13"/>
    </row>
    <row r="322" spans="1:5" ht="14.25" customHeight="1" x14ac:dyDescent="0.3">
      <c r="A322" s="13"/>
      <c r="B322" s="13"/>
      <c r="C322" s="13"/>
      <c r="D322" s="15"/>
      <c r="E322" s="13"/>
    </row>
    <row r="323" spans="1:5" ht="14.25" customHeight="1" x14ac:dyDescent="0.3">
      <c r="A323" s="13"/>
      <c r="B323" s="13"/>
      <c r="C323" s="13"/>
      <c r="D323" s="15"/>
      <c r="E323" s="13"/>
    </row>
    <row r="324" spans="1:5" ht="14.25" customHeight="1" x14ac:dyDescent="0.3">
      <c r="A324" s="13"/>
      <c r="B324" s="13"/>
      <c r="C324" s="13"/>
      <c r="D324" s="15"/>
      <c r="E324" s="13"/>
    </row>
    <row r="325" spans="1:5" ht="14.25" customHeight="1" x14ac:dyDescent="0.3">
      <c r="A325" s="13"/>
      <c r="B325" s="13"/>
      <c r="C325" s="13"/>
      <c r="D325" s="15"/>
      <c r="E325" s="13"/>
    </row>
    <row r="326" spans="1:5" ht="14.25" customHeight="1" x14ac:dyDescent="0.3">
      <c r="A326" s="13"/>
      <c r="B326" s="13"/>
      <c r="C326" s="13"/>
      <c r="D326" s="15"/>
      <c r="E326" s="13"/>
    </row>
    <row r="327" spans="1:5" ht="14.25" customHeight="1" x14ac:dyDescent="0.3">
      <c r="A327" s="13"/>
      <c r="B327" s="13"/>
      <c r="C327" s="13"/>
      <c r="D327" s="15"/>
      <c r="E327" s="13"/>
    </row>
    <row r="328" spans="1:5" ht="14.25" customHeight="1" x14ac:dyDescent="0.3">
      <c r="A328" s="13"/>
      <c r="B328" s="13"/>
      <c r="C328" s="13"/>
      <c r="D328" s="15"/>
      <c r="E328" s="13"/>
    </row>
    <row r="329" spans="1:5" ht="14.25" customHeight="1" x14ac:dyDescent="0.3">
      <c r="A329" s="13"/>
      <c r="B329" s="13"/>
      <c r="C329" s="13"/>
      <c r="D329" s="15"/>
      <c r="E329" s="13"/>
    </row>
    <row r="330" spans="1:5" ht="14.25" customHeight="1" x14ac:dyDescent="0.3">
      <c r="A330" s="13"/>
      <c r="B330" s="13"/>
      <c r="C330" s="13"/>
      <c r="D330" s="15"/>
      <c r="E330" s="13"/>
    </row>
    <row r="331" spans="1:5" ht="14.25" customHeight="1" x14ac:dyDescent="0.3">
      <c r="A331" s="13"/>
      <c r="B331" s="13"/>
      <c r="C331" s="13"/>
      <c r="D331" s="15"/>
      <c r="E331" s="13"/>
    </row>
    <row r="332" spans="1:5" ht="14.25" customHeight="1" x14ac:dyDescent="0.3">
      <c r="A332" s="13"/>
      <c r="B332" s="13"/>
      <c r="C332" s="13"/>
      <c r="D332" s="15"/>
      <c r="E332" s="13"/>
    </row>
    <row r="333" spans="1:5" ht="14.25" customHeight="1" x14ac:dyDescent="0.3">
      <c r="A333" s="13"/>
      <c r="B333" s="13"/>
      <c r="C333" s="13"/>
      <c r="D333" s="15"/>
      <c r="E333" s="13"/>
    </row>
    <row r="334" spans="1:5" ht="14.25" customHeight="1" x14ac:dyDescent="0.3">
      <c r="A334" s="13"/>
      <c r="B334" s="13"/>
      <c r="C334" s="13"/>
      <c r="D334" s="15"/>
      <c r="E334" s="13"/>
    </row>
    <row r="335" spans="1:5" ht="14.25" customHeight="1" x14ac:dyDescent="0.3">
      <c r="A335" s="13"/>
      <c r="B335" s="13"/>
      <c r="C335" s="13"/>
      <c r="D335" s="15"/>
      <c r="E335" s="13"/>
    </row>
    <row r="336" spans="1:5" ht="14.25" customHeight="1" x14ac:dyDescent="0.3">
      <c r="A336" s="13"/>
      <c r="B336" s="13"/>
      <c r="C336" s="13"/>
      <c r="D336" s="15"/>
      <c r="E336" s="13"/>
    </row>
    <row r="337" spans="1:5" ht="14.25" customHeight="1" x14ac:dyDescent="0.3">
      <c r="A337" s="13"/>
      <c r="B337" s="13"/>
      <c r="C337" s="13"/>
      <c r="D337" s="15"/>
      <c r="E337" s="13"/>
    </row>
    <row r="338" spans="1:5" ht="14.25" customHeight="1" x14ac:dyDescent="0.3">
      <c r="A338" s="13"/>
      <c r="B338" s="13"/>
      <c r="C338" s="13"/>
      <c r="D338" s="15"/>
      <c r="E338" s="13"/>
    </row>
    <row r="339" spans="1:5" ht="14.25" customHeight="1" x14ac:dyDescent="0.3">
      <c r="A339" s="13"/>
      <c r="B339" s="13"/>
      <c r="C339" s="13"/>
      <c r="D339" s="15"/>
      <c r="E339" s="13"/>
    </row>
    <row r="340" spans="1:5" ht="14.25" customHeight="1" x14ac:dyDescent="0.3">
      <c r="A340" s="13"/>
      <c r="B340" s="13"/>
      <c r="C340" s="13"/>
      <c r="D340" s="15"/>
      <c r="E340" s="13"/>
    </row>
    <row r="341" spans="1:5" ht="14.25" customHeight="1" x14ac:dyDescent="0.3">
      <c r="A341" s="13"/>
      <c r="B341" s="13"/>
      <c r="C341" s="13"/>
      <c r="D341" s="15"/>
      <c r="E341" s="13"/>
    </row>
    <row r="342" spans="1:5" ht="14.25" customHeight="1" x14ac:dyDescent="0.3">
      <c r="A342" s="13"/>
      <c r="B342" s="13"/>
      <c r="C342" s="13"/>
      <c r="D342" s="15"/>
      <c r="E342" s="13"/>
    </row>
    <row r="343" spans="1:5" ht="14.25" customHeight="1" x14ac:dyDescent="0.3">
      <c r="A343" s="13"/>
      <c r="B343" s="13"/>
      <c r="C343" s="13"/>
      <c r="D343" s="15"/>
      <c r="E343" s="13"/>
    </row>
    <row r="344" spans="1:5" ht="14.25" customHeight="1" x14ac:dyDescent="0.3">
      <c r="A344" s="13"/>
      <c r="B344" s="13"/>
      <c r="C344" s="13"/>
      <c r="D344" s="15"/>
      <c r="E344" s="13"/>
    </row>
    <row r="345" spans="1:5" ht="14.25" customHeight="1" x14ac:dyDescent="0.3">
      <c r="A345" s="13"/>
      <c r="B345" s="13"/>
      <c r="C345" s="13"/>
      <c r="D345" s="15"/>
      <c r="E345" s="13"/>
    </row>
    <row r="346" spans="1:5" ht="14.25" customHeight="1" x14ac:dyDescent="0.3">
      <c r="A346" s="13"/>
      <c r="B346" s="13"/>
      <c r="C346" s="13"/>
      <c r="D346" s="15"/>
      <c r="E346" s="13"/>
    </row>
    <row r="347" spans="1:5" ht="14.25" customHeight="1" x14ac:dyDescent="0.3">
      <c r="A347" s="13"/>
      <c r="B347" s="13"/>
      <c r="C347" s="13"/>
      <c r="D347" s="15"/>
      <c r="E347" s="13"/>
    </row>
    <row r="348" spans="1:5" ht="14.25" customHeight="1" x14ac:dyDescent="0.3">
      <c r="A348" s="13"/>
      <c r="B348" s="13"/>
      <c r="C348" s="13"/>
      <c r="D348" s="15"/>
      <c r="E348" s="13"/>
    </row>
    <row r="349" spans="1:5" ht="14.25" customHeight="1" x14ac:dyDescent="0.3">
      <c r="A349" s="13"/>
      <c r="B349" s="13"/>
      <c r="C349" s="13"/>
      <c r="D349" s="15"/>
      <c r="E349" s="13"/>
    </row>
    <row r="350" spans="1:5" ht="14.25" customHeight="1" x14ac:dyDescent="0.3">
      <c r="A350" s="13"/>
      <c r="B350" s="13"/>
      <c r="C350" s="13"/>
      <c r="D350" s="15"/>
      <c r="E350" s="13"/>
    </row>
    <row r="351" spans="1:5" ht="14.25" customHeight="1" x14ac:dyDescent="0.3">
      <c r="A351" s="13"/>
      <c r="B351" s="13"/>
      <c r="C351" s="13"/>
      <c r="D351" s="15"/>
      <c r="E351" s="13"/>
    </row>
    <row r="352" spans="1:5" ht="14.25" customHeight="1" x14ac:dyDescent="0.3">
      <c r="A352" s="13"/>
      <c r="B352" s="13"/>
      <c r="C352" s="13"/>
      <c r="D352" s="15"/>
      <c r="E352" s="13"/>
    </row>
    <row r="353" spans="1:5" ht="14.25" customHeight="1" x14ac:dyDescent="0.3">
      <c r="A353" s="13"/>
      <c r="B353" s="13"/>
      <c r="C353" s="13"/>
      <c r="D353" s="15"/>
      <c r="E353" s="13"/>
    </row>
    <row r="354" spans="1:5" ht="14.25" customHeight="1" x14ac:dyDescent="0.3">
      <c r="A354" s="13"/>
      <c r="B354" s="13"/>
      <c r="C354" s="13"/>
      <c r="D354" s="15"/>
      <c r="E354" s="13"/>
    </row>
    <row r="355" spans="1:5" ht="14.25" customHeight="1" x14ac:dyDescent="0.3">
      <c r="A355" s="13"/>
      <c r="B355" s="13"/>
      <c r="C355" s="13"/>
      <c r="D355" s="15"/>
      <c r="E355" s="13"/>
    </row>
    <row r="356" spans="1:5" ht="14.25" customHeight="1" x14ac:dyDescent="0.3">
      <c r="A356" s="13"/>
      <c r="B356" s="13"/>
      <c r="C356" s="13"/>
      <c r="D356" s="15"/>
      <c r="E356" s="13"/>
    </row>
    <row r="357" spans="1:5" ht="14.25" customHeight="1" x14ac:dyDescent="0.3">
      <c r="A357" s="13"/>
      <c r="B357" s="13"/>
      <c r="C357" s="13"/>
      <c r="D357" s="15"/>
      <c r="E357" s="13"/>
    </row>
    <row r="358" spans="1:5" ht="14.25" customHeight="1" x14ac:dyDescent="0.3">
      <c r="A358" s="13"/>
      <c r="B358" s="13"/>
      <c r="C358" s="13"/>
      <c r="D358" s="15"/>
      <c r="E358" s="13"/>
    </row>
    <row r="359" spans="1:5" ht="14.25" customHeight="1" x14ac:dyDescent="0.3">
      <c r="A359" s="13"/>
      <c r="B359" s="13"/>
      <c r="C359" s="13"/>
      <c r="D359" s="15"/>
      <c r="E359" s="13"/>
    </row>
    <row r="360" spans="1:5" ht="14.25" customHeight="1" x14ac:dyDescent="0.3">
      <c r="A360" s="13"/>
      <c r="B360" s="13"/>
      <c r="C360" s="13"/>
      <c r="D360" s="15"/>
      <c r="E360" s="13"/>
    </row>
    <row r="361" spans="1:5" ht="14.25" customHeight="1" x14ac:dyDescent="0.3">
      <c r="A361" s="13"/>
      <c r="B361" s="13"/>
      <c r="C361" s="13"/>
      <c r="D361" s="15"/>
      <c r="E361" s="13"/>
    </row>
    <row r="362" spans="1:5" ht="14.25" customHeight="1" x14ac:dyDescent="0.3">
      <c r="A362" s="13"/>
      <c r="B362" s="13"/>
      <c r="C362" s="13"/>
      <c r="D362" s="15"/>
      <c r="E362" s="13"/>
    </row>
    <row r="363" spans="1:5" ht="14.25" customHeight="1" x14ac:dyDescent="0.3">
      <c r="A363" s="13"/>
      <c r="B363" s="13"/>
      <c r="C363" s="13"/>
      <c r="D363" s="15"/>
      <c r="E363" s="13"/>
    </row>
    <row r="364" spans="1:5" ht="14.25" customHeight="1" x14ac:dyDescent="0.3">
      <c r="A364" s="13"/>
      <c r="B364" s="13"/>
      <c r="C364" s="13"/>
      <c r="D364" s="15"/>
      <c r="E364" s="13"/>
    </row>
    <row r="365" spans="1:5" ht="14.25" customHeight="1" x14ac:dyDescent="0.3">
      <c r="A365" s="13"/>
      <c r="B365" s="13"/>
      <c r="C365" s="13"/>
      <c r="D365" s="15"/>
      <c r="E365" s="13"/>
    </row>
    <row r="366" spans="1:5" ht="14.25" customHeight="1" x14ac:dyDescent="0.3">
      <c r="A366" s="13"/>
      <c r="B366" s="13"/>
      <c r="C366" s="13"/>
      <c r="D366" s="15"/>
      <c r="E366" s="13"/>
    </row>
    <row r="367" spans="1:5" ht="14.25" customHeight="1" x14ac:dyDescent="0.3">
      <c r="A367" s="13"/>
      <c r="B367" s="13"/>
      <c r="C367" s="13"/>
      <c r="D367" s="15"/>
      <c r="E367" s="13"/>
    </row>
    <row r="368" spans="1:5" ht="14.25" customHeight="1" x14ac:dyDescent="0.3">
      <c r="A368" s="13"/>
      <c r="B368" s="13"/>
      <c r="C368" s="13"/>
      <c r="D368" s="15"/>
      <c r="E368" s="13"/>
    </row>
    <row r="369" spans="1:5" ht="14.25" customHeight="1" x14ac:dyDescent="0.3">
      <c r="A369" s="13"/>
      <c r="B369" s="13"/>
      <c r="C369" s="13"/>
      <c r="D369" s="15"/>
      <c r="E369" s="13"/>
    </row>
    <row r="370" spans="1:5" ht="14.25" customHeight="1" x14ac:dyDescent="0.3">
      <c r="A370" s="13"/>
      <c r="B370" s="13"/>
      <c r="C370" s="13"/>
      <c r="D370" s="15"/>
      <c r="E370" s="13"/>
    </row>
    <row r="371" spans="1:5" ht="14.25" customHeight="1" x14ac:dyDescent="0.3">
      <c r="A371" s="13"/>
      <c r="B371" s="13"/>
      <c r="C371" s="13"/>
      <c r="D371" s="15"/>
      <c r="E371" s="13"/>
    </row>
    <row r="372" spans="1:5" ht="14.25" customHeight="1" x14ac:dyDescent="0.3">
      <c r="A372" s="13"/>
      <c r="B372" s="13"/>
      <c r="C372" s="13"/>
      <c r="D372" s="15"/>
      <c r="E372" s="13"/>
    </row>
    <row r="373" spans="1:5" ht="14.25" customHeight="1" x14ac:dyDescent="0.3">
      <c r="A373" s="13"/>
      <c r="B373" s="13"/>
      <c r="C373" s="13"/>
      <c r="D373" s="15"/>
      <c r="E373" s="13"/>
    </row>
    <row r="374" spans="1:5" ht="14.25" customHeight="1" x14ac:dyDescent="0.3">
      <c r="A374" s="13"/>
      <c r="B374" s="13"/>
      <c r="C374" s="13"/>
      <c r="D374" s="15"/>
      <c r="E374" s="13"/>
    </row>
    <row r="375" spans="1:5" ht="14.25" customHeight="1" x14ac:dyDescent="0.3">
      <c r="A375" s="13"/>
      <c r="B375" s="13"/>
      <c r="C375" s="13"/>
      <c r="D375" s="15"/>
      <c r="E375" s="13"/>
    </row>
    <row r="376" spans="1:5" ht="14.25" customHeight="1" x14ac:dyDescent="0.3">
      <c r="A376" s="13"/>
      <c r="B376" s="13"/>
      <c r="C376" s="13"/>
      <c r="D376" s="15"/>
      <c r="E376" s="13"/>
    </row>
    <row r="377" spans="1:5" ht="14.25" customHeight="1" x14ac:dyDescent="0.3">
      <c r="A377" s="13"/>
      <c r="B377" s="13"/>
      <c r="C377" s="13"/>
      <c r="D377" s="15"/>
      <c r="E377" s="13"/>
    </row>
    <row r="378" spans="1:5" ht="14.25" customHeight="1" x14ac:dyDescent="0.3">
      <c r="A378" s="13"/>
      <c r="B378" s="13"/>
      <c r="C378" s="13"/>
      <c r="D378" s="15"/>
      <c r="E378" s="13"/>
    </row>
    <row r="379" spans="1:5" ht="14.25" customHeight="1" x14ac:dyDescent="0.3">
      <c r="A379" s="13"/>
      <c r="B379" s="13"/>
      <c r="C379" s="13"/>
      <c r="D379" s="15"/>
      <c r="E379" s="13"/>
    </row>
    <row r="380" spans="1:5" ht="14.25" customHeight="1" x14ac:dyDescent="0.3">
      <c r="A380" s="13"/>
      <c r="B380" s="13"/>
      <c r="C380" s="13"/>
      <c r="D380" s="15"/>
      <c r="E380" s="13"/>
    </row>
    <row r="381" spans="1:5" ht="14.25" customHeight="1" x14ac:dyDescent="0.3">
      <c r="A381" s="13"/>
      <c r="B381" s="13"/>
      <c r="C381" s="13"/>
      <c r="D381" s="15"/>
      <c r="E381" s="13"/>
    </row>
    <row r="382" spans="1:5" ht="14.25" customHeight="1" x14ac:dyDescent="0.3">
      <c r="A382" s="13"/>
      <c r="B382" s="13"/>
      <c r="C382" s="13"/>
      <c r="D382" s="15"/>
      <c r="E382" s="13"/>
    </row>
    <row r="383" spans="1:5" ht="14.25" customHeight="1" x14ac:dyDescent="0.3">
      <c r="A383" s="13"/>
      <c r="B383" s="13"/>
      <c r="C383" s="13"/>
      <c r="D383" s="15"/>
      <c r="E383" s="13"/>
    </row>
    <row r="384" spans="1:5" ht="14.25" customHeight="1" x14ac:dyDescent="0.3">
      <c r="A384" s="13"/>
      <c r="B384" s="13"/>
      <c r="C384" s="13"/>
      <c r="D384" s="15"/>
      <c r="E384" s="13"/>
    </row>
    <row r="385" spans="1:5" ht="14.25" customHeight="1" x14ac:dyDescent="0.3">
      <c r="A385" s="13"/>
      <c r="B385" s="13"/>
      <c r="C385" s="13"/>
      <c r="D385" s="15"/>
      <c r="E385" s="13"/>
    </row>
    <row r="386" spans="1:5" ht="14.25" customHeight="1" x14ac:dyDescent="0.3">
      <c r="A386" s="13"/>
      <c r="B386" s="13"/>
      <c r="C386" s="13"/>
      <c r="D386" s="15"/>
      <c r="E386" s="13"/>
    </row>
    <row r="387" spans="1:5" ht="14.25" customHeight="1" x14ac:dyDescent="0.3">
      <c r="A387" s="13"/>
      <c r="B387" s="13"/>
      <c r="C387" s="13"/>
      <c r="D387" s="15"/>
      <c r="E387" s="13"/>
    </row>
    <row r="388" spans="1:5" ht="14.25" customHeight="1" x14ac:dyDescent="0.3">
      <c r="A388" s="13"/>
      <c r="B388" s="13"/>
      <c r="C388" s="13"/>
      <c r="D388" s="15"/>
      <c r="E388" s="13"/>
    </row>
    <row r="389" spans="1:5" ht="14.25" customHeight="1" x14ac:dyDescent="0.3">
      <c r="A389" s="13"/>
      <c r="B389" s="13"/>
      <c r="C389" s="13"/>
      <c r="D389" s="15"/>
      <c r="E389" s="13"/>
    </row>
    <row r="390" spans="1:5" ht="14.25" customHeight="1" x14ac:dyDescent="0.3">
      <c r="A390" s="13"/>
      <c r="B390" s="13"/>
      <c r="C390" s="13"/>
      <c r="D390" s="15"/>
      <c r="E390" s="13"/>
    </row>
    <row r="391" spans="1:5" ht="14.25" customHeight="1" x14ac:dyDescent="0.3">
      <c r="A391" s="13"/>
      <c r="B391" s="13"/>
      <c r="C391" s="13"/>
      <c r="D391" s="15"/>
      <c r="E391" s="13"/>
    </row>
    <row r="392" spans="1:5" ht="14.25" customHeight="1" x14ac:dyDescent="0.3">
      <c r="A392" s="13"/>
      <c r="B392" s="13"/>
      <c r="C392" s="13"/>
      <c r="D392" s="15"/>
      <c r="E392" s="13"/>
    </row>
    <row r="393" spans="1:5" ht="14.25" customHeight="1" x14ac:dyDescent="0.3">
      <c r="A393" s="13"/>
      <c r="B393" s="13"/>
      <c r="C393" s="13"/>
      <c r="D393" s="15"/>
      <c r="E393" s="13"/>
    </row>
    <row r="394" spans="1:5" ht="14.25" customHeight="1" x14ac:dyDescent="0.3">
      <c r="A394" s="13"/>
      <c r="B394" s="13"/>
      <c r="C394" s="13"/>
      <c r="D394" s="15"/>
      <c r="E394" s="13"/>
    </row>
    <row r="395" spans="1:5" ht="14.25" customHeight="1" x14ac:dyDescent="0.3">
      <c r="A395" s="13"/>
      <c r="B395" s="13"/>
      <c r="C395" s="13"/>
      <c r="D395" s="15"/>
      <c r="E395" s="13"/>
    </row>
    <row r="396" spans="1:5" ht="14.25" customHeight="1" x14ac:dyDescent="0.3">
      <c r="A396" s="13"/>
      <c r="B396" s="13"/>
      <c r="C396" s="13"/>
      <c r="D396" s="15"/>
      <c r="E396" s="13"/>
    </row>
    <row r="397" spans="1:5" ht="14.25" customHeight="1" x14ac:dyDescent="0.3">
      <c r="A397" s="13"/>
      <c r="B397" s="13"/>
      <c r="C397" s="13"/>
      <c r="D397" s="15"/>
      <c r="E397" s="13"/>
    </row>
    <row r="398" spans="1:5" ht="14.25" customHeight="1" x14ac:dyDescent="0.3">
      <c r="A398" s="13"/>
      <c r="B398" s="13"/>
      <c r="C398" s="13"/>
      <c r="D398" s="15"/>
      <c r="E398" s="13"/>
    </row>
    <row r="399" spans="1:5" ht="14.25" customHeight="1" x14ac:dyDescent="0.3">
      <c r="A399" s="13"/>
      <c r="B399" s="13"/>
      <c r="C399" s="13"/>
      <c r="D399" s="15"/>
      <c r="E399" s="13"/>
    </row>
    <row r="400" spans="1:5" ht="14.25" customHeight="1" x14ac:dyDescent="0.3">
      <c r="A400" s="13"/>
      <c r="B400" s="13"/>
      <c r="C400" s="13"/>
      <c r="D400" s="15"/>
      <c r="E400" s="13"/>
    </row>
    <row r="401" spans="1:5" ht="14.25" customHeight="1" x14ac:dyDescent="0.3">
      <c r="A401" s="13"/>
      <c r="B401" s="13"/>
      <c r="C401" s="13"/>
      <c r="D401" s="15"/>
      <c r="E401" s="13"/>
    </row>
    <row r="402" spans="1:5" ht="14.25" customHeight="1" x14ac:dyDescent="0.3">
      <c r="A402" s="13"/>
      <c r="B402" s="13"/>
      <c r="C402" s="13"/>
      <c r="D402" s="15"/>
      <c r="E402" s="13"/>
    </row>
    <row r="403" spans="1:5" ht="14.25" customHeight="1" x14ac:dyDescent="0.3">
      <c r="A403" s="13"/>
      <c r="B403" s="13"/>
      <c r="C403" s="13"/>
      <c r="D403" s="15"/>
      <c r="E403" s="13"/>
    </row>
    <row r="404" spans="1:5" ht="14.25" customHeight="1" x14ac:dyDescent="0.3">
      <c r="A404" s="13"/>
      <c r="B404" s="13"/>
      <c r="C404" s="13"/>
      <c r="D404" s="15"/>
      <c r="E404" s="13"/>
    </row>
    <row r="405" spans="1:5" ht="14.25" customHeight="1" x14ac:dyDescent="0.3">
      <c r="A405" s="13"/>
      <c r="B405" s="13"/>
      <c r="C405" s="13"/>
      <c r="D405" s="15"/>
      <c r="E405" s="13"/>
    </row>
    <row r="406" spans="1:5" ht="14.25" customHeight="1" x14ac:dyDescent="0.3">
      <c r="A406" s="13"/>
      <c r="B406" s="13"/>
      <c r="C406" s="13"/>
      <c r="D406" s="15"/>
      <c r="E406" s="13"/>
    </row>
    <row r="407" spans="1:5" ht="14.25" customHeight="1" x14ac:dyDescent="0.3">
      <c r="A407" s="13"/>
      <c r="B407" s="13"/>
      <c r="C407" s="13"/>
      <c r="D407" s="15"/>
      <c r="E407" s="13"/>
    </row>
    <row r="408" spans="1:5" ht="14.25" customHeight="1" x14ac:dyDescent="0.3">
      <c r="A408" s="13"/>
      <c r="B408" s="13"/>
      <c r="C408" s="13"/>
      <c r="D408" s="15"/>
      <c r="E408" s="13"/>
    </row>
    <row r="409" spans="1:5" ht="14.25" customHeight="1" x14ac:dyDescent="0.3">
      <c r="A409" s="13"/>
      <c r="B409" s="13"/>
      <c r="C409" s="13"/>
      <c r="D409" s="15"/>
      <c r="E409" s="13"/>
    </row>
    <row r="410" spans="1:5" ht="14.25" customHeight="1" x14ac:dyDescent="0.3">
      <c r="A410" s="13"/>
      <c r="B410" s="13"/>
      <c r="C410" s="13"/>
      <c r="D410" s="15"/>
      <c r="E410" s="13"/>
    </row>
    <row r="411" spans="1:5" ht="14.25" customHeight="1" x14ac:dyDescent="0.3">
      <c r="A411" s="13"/>
      <c r="B411" s="13"/>
      <c r="C411" s="13"/>
      <c r="D411" s="15"/>
      <c r="E411" s="13"/>
    </row>
    <row r="412" spans="1:5" ht="14.25" customHeight="1" x14ac:dyDescent="0.3">
      <c r="A412" s="13"/>
      <c r="B412" s="13"/>
      <c r="C412" s="13"/>
      <c r="D412" s="15"/>
      <c r="E412" s="13"/>
    </row>
    <row r="413" spans="1:5" ht="14.25" customHeight="1" x14ac:dyDescent="0.3">
      <c r="A413" s="13"/>
      <c r="B413" s="13"/>
      <c r="C413" s="13"/>
      <c r="D413" s="15"/>
      <c r="E413" s="13"/>
    </row>
    <row r="414" spans="1:5" ht="14.25" customHeight="1" x14ac:dyDescent="0.3">
      <c r="A414" s="13"/>
      <c r="B414" s="13"/>
      <c r="C414" s="13"/>
      <c r="D414" s="15"/>
      <c r="E414" s="13"/>
    </row>
    <row r="415" spans="1:5" ht="14.25" customHeight="1" x14ac:dyDescent="0.3">
      <c r="A415" s="13"/>
      <c r="B415" s="13"/>
      <c r="C415" s="13"/>
      <c r="D415" s="15"/>
      <c r="E415" s="13"/>
    </row>
    <row r="416" spans="1:5" ht="14.25" customHeight="1" x14ac:dyDescent="0.3">
      <c r="A416" s="13"/>
      <c r="B416" s="13"/>
      <c r="C416" s="13"/>
      <c r="D416" s="15"/>
      <c r="E416" s="13"/>
    </row>
    <row r="417" spans="1:5" ht="14.25" customHeight="1" x14ac:dyDescent="0.3">
      <c r="A417" s="13"/>
      <c r="B417" s="13"/>
      <c r="C417" s="13"/>
      <c r="D417" s="15"/>
      <c r="E417" s="13"/>
    </row>
    <row r="418" spans="1:5" ht="14.25" customHeight="1" x14ac:dyDescent="0.3">
      <c r="A418" s="13"/>
      <c r="B418" s="13"/>
      <c r="C418" s="13"/>
      <c r="D418" s="15"/>
      <c r="E418" s="13"/>
    </row>
    <row r="419" spans="1:5" ht="14.25" customHeight="1" x14ac:dyDescent="0.3">
      <c r="A419" s="13"/>
      <c r="B419" s="13"/>
      <c r="C419" s="13"/>
      <c r="D419" s="15"/>
      <c r="E419" s="13"/>
    </row>
    <row r="420" spans="1:5" ht="14.25" customHeight="1" x14ac:dyDescent="0.3">
      <c r="A420" s="13"/>
      <c r="B420" s="13"/>
      <c r="C420" s="13"/>
      <c r="D420" s="15"/>
      <c r="E420" s="13"/>
    </row>
    <row r="421" spans="1:5" ht="14.25" customHeight="1" x14ac:dyDescent="0.3">
      <c r="A421" s="13"/>
      <c r="B421" s="13"/>
      <c r="C421" s="13"/>
      <c r="D421" s="15"/>
      <c r="E421" s="13"/>
    </row>
    <row r="422" spans="1:5" ht="14.25" customHeight="1" x14ac:dyDescent="0.3">
      <c r="A422" s="13"/>
      <c r="B422" s="13"/>
      <c r="C422" s="13"/>
      <c r="D422" s="15"/>
      <c r="E422" s="13"/>
    </row>
    <row r="423" spans="1:5" ht="14.25" customHeight="1" x14ac:dyDescent="0.3">
      <c r="A423" s="13"/>
      <c r="B423" s="13"/>
      <c r="C423" s="13"/>
      <c r="D423" s="15"/>
      <c r="E423" s="13"/>
    </row>
    <row r="424" spans="1:5" ht="14.25" customHeight="1" x14ac:dyDescent="0.3">
      <c r="A424" s="13"/>
      <c r="B424" s="13"/>
      <c r="C424" s="13"/>
      <c r="D424" s="15"/>
      <c r="E424" s="13"/>
    </row>
    <row r="425" spans="1:5" ht="14.25" customHeight="1" x14ac:dyDescent="0.3">
      <c r="A425" s="13"/>
      <c r="B425" s="13"/>
      <c r="C425" s="13"/>
      <c r="D425" s="15"/>
      <c r="E425" s="13"/>
    </row>
    <row r="426" spans="1:5" ht="14.25" customHeight="1" x14ac:dyDescent="0.3">
      <c r="A426" s="13"/>
      <c r="B426" s="13"/>
      <c r="C426" s="13"/>
      <c r="D426" s="15"/>
      <c r="E426" s="13"/>
    </row>
    <row r="427" spans="1:5" ht="14.25" customHeight="1" x14ac:dyDescent="0.3">
      <c r="A427" s="13"/>
      <c r="B427" s="13"/>
      <c r="C427" s="13"/>
      <c r="D427" s="15"/>
      <c r="E427" s="13"/>
    </row>
    <row r="428" spans="1:5" ht="14.25" customHeight="1" x14ac:dyDescent="0.3">
      <c r="A428" s="13"/>
      <c r="B428" s="13"/>
      <c r="C428" s="13"/>
      <c r="D428" s="15"/>
      <c r="E428" s="13"/>
    </row>
    <row r="429" spans="1:5" ht="14.25" customHeight="1" x14ac:dyDescent="0.3">
      <c r="A429" s="13"/>
      <c r="B429" s="13"/>
      <c r="C429" s="13"/>
      <c r="D429" s="15"/>
      <c r="E429" s="13"/>
    </row>
    <row r="430" spans="1:5" ht="14.25" customHeight="1" x14ac:dyDescent="0.3">
      <c r="A430" s="13"/>
      <c r="B430" s="13"/>
      <c r="C430" s="13"/>
      <c r="D430" s="15"/>
      <c r="E430" s="13"/>
    </row>
    <row r="431" spans="1:5" ht="14.25" customHeight="1" x14ac:dyDescent="0.3">
      <c r="A431" s="13"/>
      <c r="B431" s="13"/>
      <c r="C431" s="13"/>
      <c r="D431" s="15"/>
      <c r="E431" s="13"/>
    </row>
    <row r="432" spans="1:5" ht="14.25" customHeight="1" x14ac:dyDescent="0.3">
      <c r="A432" s="13"/>
      <c r="B432" s="13"/>
      <c r="C432" s="13"/>
      <c r="D432" s="15"/>
      <c r="E432" s="13"/>
    </row>
    <row r="433" spans="1:5" ht="14.25" customHeight="1" x14ac:dyDescent="0.3">
      <c r="A433" s="13"/>
      <c r="B433" s="13"/>
      <c r="C433" s="13"/>
      <c r="D433" s="15"/>
      <c r="E433" s="13"/>
    </row>
    <row r="434" spans="1:5" ht="14.25" customHeight="1" x14ac:dyDescent="0.3">
      <c r="A434" s="13"/>
      <c r="B434" s="13"/>
      <c r="C434" s="13"/>
      <c r="D434" s="15"/>
      <c r="E434" s="13"/>
    </row>
    <row r="435" spans="1:5" ht="14.25" customHeight="1" x14ac:dyDescent="0.3">
      <c r="A435" s="13"/>
      <c r="B435" s="13"/>
      <c r="C435" s="13"/>
      <c r="D435" s="15"/>
      <c r="E435" s="13"/>
    </row>
    <row r="436" spans="1:5" ht="14.25" customHeight="1" x14ac:dyDescent="0.3">
      <c r="A436" s="13"/>
      <c r="B436" s="13"/>
      <c r="C436" s="13"/>
      <c r="D436" s="15"/>
      <c r="E436" s="13"/>
    </row>
    <row r="437" spans="1:5" ht="14.25" customHeight="1" x14ac:dyDescent="0.3">
      <c r="A437" s="13"/>
      <c r="B437" s="13"/>
      <c r="C437" s="13"/>
      <c r="D437" s="15"/>
      <c r="E437" s="13"/>
    </row>
    <row r="438" spans="1:5" ht="14.25" customHeight="1" x14ac:dyDescent="0.3">
      <c r="A438" s="13"/>
      <c r="B438" s="13"/>
      <c r="C438" s="13"/>
      <c r="D438" s="15"/>
      <c r="E438" s="13"/>
    </row>
    <row r="439" spans="1:5" ht="14.25" customHeight="1" x14ac:dyDescent="0.3">
      <c r="A439" s="13"/>
      <c r="B439" s="13"/>
      <c r="C439" s="13"/>
      <c r="D439" s="15"/>
      <c r="E439" s="13"/>
    </row>
    <row r="440" spans="1:5" ht="14.25" customHeight="1" x14ac:dyDescent="0.3">
      <c r="A440" s="13"/>
      <c r="B440" s="13"/>
      <c r="C440" s="13"/>
      <c r="D440" s="15"/>
      <c r="E440" s="13"/>
    </row>
    <row r="441" spans="1:5" ht="14.25" customHeight="1" x14ac:dyDescent="0.3">
      <c r="A441" s="13"/>
      <c r="B441" s="13"/>
      <c r="C441" s="13"/>
      <c r="D441" s="15"/>
      <c r="E441" s="13"/>
    </row>
    <row r="442" spans="1:5" ht="14.25" customHeight="1" x14ac:dyDescent="0.3">
      <c r="A442" s="13"/>
      <c r="B442" s="13"/>
      <c r="C442" s="13"/>
      <c r="D442" s="15"/>
      <c r="E442" s="13"/>
    </row>
    <row r="443" spans="1:5" ht="14.25" customHeight="1" x14ac:dyDescent="0.3">
      <c r="A443" s="13"/>
      <c r="B443" s="13"/>
      <c r="C443" s="13"/>
      <c r="D443" s="15"/>
      <c r="E443" s="13"/>
    </row>
    <row r="444" spans="1:5" ht="14.25" customHeight="1" x14ac:dyDescent="0.3">
      <c r="A444" s="13"/>
      <c r="B444" s="13"/>
      <c r="C444" s="13"/>
      <c r="D444" s="15"/>
      <c r="E444" s="13"/>
    </row>
    <row r="445" spans="1:5" ht="14.25" customHeight="1" x14ac:dyDescent="0.3">
      <c r="A445" s="13"/>
      <c r="B445" s="13"/>
      <c r="C445" s="13"/>
      <c r="D445" s="15"/>
      <c r="E445" s="13"/>
    </row>
    <row r="446" spans="1:5" ht="14.25" customHeight="1" x14ac:dyDescent="0.3">
      <c r="A446" s="13"/>
      <c r="B446" s="13"/>
      <c r="C446" s="13"/>
      <c r="D446" s="15"/>
      <c r="E446" s="13"/>
    </row>
    <row r="447" spans="1:5" ht="14.25" customHeight="1" x14ac:dyDescent="0.3">
      <c r="A447" s="13"/>
      <c r="B447" s="13"/>
      <c r="C447" s="13"/>
      <c r="D447" s="15"/>
      <c r="E447" s="13"/>
    </row>
    <row r="448" spans="1:5" ht="14.25" customHeight="1" x14ac:dyDescent="0.3">
      <c r="A448" s="13"/>
      <c r="B448" s="13"/>
      <c r="C448" s="13"/>
      <c r="D448" s="15"/>
      <c r="E448" s="13"/>
    </row>
    <row r="449" spans="1:5" ht="14.25" customHeight="1" x14ac:dyDescent="0.3">
      <c r="A449" s="13"/>
      <c r="B449" s="13"/>
      <c r="C449" s="13"/>
      <c r="D449" s="15"/>
      <c r="E449" s="13"/>
    </row>
    <row r="450" spans="1:5" ht="14.25" customHeight="1" x14ac:dyDescent="0.3">
      <c r="A450" s="13"/>
      <c r="B450" s="13"/>
      <c r="C450" s="13"/>
      <c r="D450" s="15"/>
      <c r="E450" s="13"/>
    </row>
    <row r="451" spans="1:5" ht="14.25" customHeight="1" x14ac:dyDescent="0.3">
      <c r="A451" s="13"/>
      <c r="B451" s="13"/>
      <c r="C451" s="13"/>
      <c r="D451" s="15"/>
      <c r="E451" s="13"/>
    </row>
    <row r="452" spans="1:5" ht="14.25" customHeight="1" x14ac:dyDescent="0.3">
      <c r="A452" s="13"/>
      <c r="B452" s="13"/>
      <c r="C452" s="13"/>
      <c r="D452" s="15"/>
      <c r="E452" s="13"/>
    </row>
    <row r="453" spans="1:5" ht="14.25" customHeight="1" x14ac:dyDescent="0.3">
      <c r="A453" s="13"/>
      <c r="B453" s="13"/>
      <c r="C453" s="13"/>
      <c r="D453" s="15"/>
      <c r="E453" s="13"/>
    </row>
    <row r="454" spans="1:5" ht="14.25" customHeight="1" x14ac:dyDescent="0.3">
      <c r="A454" s="13"/>
      <c r="B454" s="13"/>
      <c r="C454" s="13"/>
      <c r="D454" s="15"/>
      <c r="E454" s="13"/>
    </row>
    <row r="455" spans="1:5" ht="14.25" customHeight="1" x14ac:dyDescent="0.3">
      <c r="A455" s="13"/>
      <c r="B455" s="13"/>
      <c r="C455" s="13"/>
      <c r="D455" s="15"/>
      <c r="E455" s="13"/>
    </row>
    <row r="456" spans="1:5" ht="14.25" customHeight="1" x14ac:dyDescent="0.3">
      <c r="A456" s="13"/>
      <c r="B456" s="13"/>
      <c r="C456" s="13"/>
      <c r="D456" s="15"/>
      <c r="E456" s="13"/>
    </row>
    <row r="457" spans="1:5" ht="14.25" customHeight="1" x14ac:dyDescent="0.3">
      <c r="A457" s="13"/>
      <c r="B457" s="13"/>
      <c r="C457" s="13"/>
      <c r="D457" s="15"/>
      <c r="E457" s="13"/>
    </row>
    <row r="458" spans="1:5" ht="14.25" customHeight="1" x14ac:dyDescent="0.3">
      <c r="A458" s="13"/>
      <c r="B458" s="13"/>
      <c r="C458" s="13"/>
      <c r="D458" s="15"/>
      <c r="E458" s="13"/>
    </row>
    <row r="459" spans="1:5" ht="14.25" customHeight="1" x14ac:dyDescent="0.3">
      <c r="A459" s="13"/>
      <c r="B459" s="13"/>
      <c r="C459" s="13"/>
      <c r="D459" s="15"/>
      <c r="E459" s="13"/>
    </row>
    <row r="460" spans="1:5" ht="14.25" customHeight="1" x14ac:dyDescent="0.3">
      <c r="A460" s="13"/>
      <c r="B460" s="13"/>
      <c r="C460" s="13"/>
      <c r="D460" s="15"/>
      <c r="E460" s="13"/>
    </row>
    <row r="461" spans="1:5" ht="14.25" customHeight="1" x14ac:dyDescent="0.3">
      <c r="A461" s="13"/>
      <c r="B461" s="13"/>
      <c r="C461" s="13"/>
      <c r="D461" s="15"/>
      <c r="E461" s="13"/>
    </row>
    <row r="462" spans="1:5" ht="14.25" customHeight="1" x14ac:dyDescent="0.3">
      <c r="A462" s="13"/>
      <c r="B462" s="13"/>
      <c r="C462" s="13"/>
      <c r="D462" s="15"/>
      <c r="E462" s="13"/>
    </row>
    <row r="463" spans="1:5" ht="14.25" customHeight="1" x14ac:dyDescent="0.3">
      <c r="A463" s="13"/>
      <c r="B463" s="13"/>
      <c r="C463" s="13"/>
      <c r="D463" s="15"/>
      <c r="E463" s="13"/>
    </row>
    <row r="464" spans="1:5" ht="14.25" customHeight="1" x14ac:dyDescent="0.3">
      <c r="A464" s="13"/>
      <c r="B464" s="13"/>
      <c r="C464" s="13"/>
      <c r="D464" s="15"/>
      <c r="E464" s="13"/>
    </row>
    <row r="465" spans="1:5" ht="14.25" customHeight="1" x14ac:dyDescent="0.3">
      <c r="A465" s="13"/>
      <c r="B465" s="13"/>
      <c r="C465" s="13"/>
      <c r="D465" s="15"/>
      <c r="E465" s="13"/>
    </row>
    <row r="466" spans="1:5" ht="14.25" customHeight="1" x14ac:dyDescent="0.3">
      <c r="A466" s="13"/>
      <c r="B466" s="13"/>
      <c r="C466" s="13"/>
      <c r="D466" s="15"/>
      <c r="E466" s="13"/>
    </row>
    <row r="467" spans="1:5" ht="14.25" customHeight="1" x14ac:dyDescent="0.3">
      <c r="A467" s="13"/>
      <c r="B467" s="13"/>
      <c r="C467" s="13"/>
      <c r="D467" s="15"/>
      <c r="E467" s="13"/>
    </row>
    <row r="468" spans="1:5" ht="14.25" customHeight="1" x14ac:dyDescent="0.3">
      <c r="A468" s="13"/>
      <c r="B468" s="13"/>
      <c r="C468" s="13"/>
      <c r="D468" s="15"/>
      <c r="E468" s="13"/>
    </row>
    <row r="469" spans="1:5" ht="14.25" customHeight="1" x14ac:dyDescent="0.3">
      <c r="A469" s="13"/>
      <c r="B469" s="13"/>
      <c r="C469" s="13"/>
      <c r="D469" s="15"/>
      <c r="E469" s="13"/>
    </row>
    <row r="470" spans="1:5" ht="14.25" customHeight="1" x14ac:dyDescent="0.3">
      <c r="A470" s="13"/>
      <c r="B470" s="13"/>
      <c r="C470" s="13"/>
      <c r="D470" s="15"/>
      <c r="E470" s="13"/>
    </row>
    <row r="471" spans="1:5" ht="14.25" customHeight="1" x14ac:dyDescent="0.3">
      <c r="A471" s="13"/>
      <c r="B471" s="13"/>
      <c r="C471" s="13"/>
      <c r="D471" s="15"/>
      <c r="E471" s="13"/>
    </row>
    <row r="472" spans="1:5" ht="14.25" customHeight="1" x14ac:dyDescent="0.3">
      <c r="A472" s="13"/>
      <c r="B472" s="13"/>
      <c r="C472" s="13"/>
      <c r="D472" s="15"/>
      <c r="E472" s="13"/>
    </row>
    <row r="473" spans="1:5" ht="14.25" customHeight="1" x14ac:dyDescent="0.3">
      <c r="A473" s="13"/>
      <c r="B473" s="13"/>
      <c r="C473" s="13"/>
      <c r="D473" s="15"/>
      <c r="E473" s="13"/>
    </row>
    <row r="474" spans="1:5" ht="14.25" customHeight="1" x14ac:dyDescent="0.3">
      <c r="A474" s="13"/>
      <c r="B474" s="13"/>
      <c r="C474" s="13"/>
      <c r="D474" s="15"/>
      <c r="E474" s="13"/>
    </row>
    <row r="475" spans="1:5" ht="14.25" customHeight="1" x14ac:dyDescent="0.3">
      <c r="A475" s="13"/>
      <c r="B475" s="13"/>
      <c r="C475" s="13"/>
      <c r="D475" s="15"/>
      <c r="E475" s="13"/>
    </row>
    <row r="476" spans="1:5" ht="14.25" customHeight="1" x14ac:dyDescent="0.3">
      <c r="A476" s="13"/>
      <c r="B476" s="13"/>
      <c r="C476" s="13"/>
      <c r="D476" s="15"/>
      <c r="E476" s="13"/>
    </row>
    <row r="477" spans="1:5" ht="14.25" customHeight="1" x14ac:dyDescent="0.3">
      <c r="A477" s="13"/>
      <c r="B477" s="13"/>
      <c r="C477" s="13"/>
      <c r="D477" s="15"/>
      <c r="E477" s="13"/>
    </row>
    <row r="478" spans="1:5" ht="14.25" customHeight="1" x14ac:dyDescent="0.3">
      <c r="A478" s="13"/>
      <c r="B478" s="13"/>
      <c r="C478" s="13"/>
      <c r="D478" s="15"/>
      <c r="E478" s="13"/>
    </row>
    <row r="479" spans="1:5" ht="14.25" customHeight="1" x14ac:dyDescent="0.3">
      <c r="A479" s="13"/>
      <c r="B479" s="13"/>
      <c r="C479" s="13"/>
      <c r="D479" s="15"/>
      <c r="E479" s="13"/>
    </row>
    <row r="480" spans="1:5" ht="14.25" customHeight="1" x14ac:dyDescent="0.3">
      <c r="A480" s="13"/>
      <c r="B480" s="13"/>
      <c r="C480" s="13"/>
      <c r="D480" s="15"/>
      <c r="E480" s="13"/>
    </row>
    <row r="481" spans="1:5" ht="14.25" customHeight="1" x14ac:dyDescent="0.3">
      <c r="A481" s="13"/>
      <c r="B481" s="13"/>
      <c r="C481" s="13"/>
      <c r="D481" s="15"/>
      <c r="E481" s="13"/>
    </row>
    <row r="482" spans="1:5" ht="14.25" customHeight="1" x14ac:dyDescent="0.3">
      <c r="A482" s="13"/>
      <c r="B482" s="13"/>
      <c r="C482" s="13"/>
      <c r="D482" s="15"/>
      <c r="E482" s="13"/>
    </row>
    <row r="483" spans="1:5" ht="14.25" customHeight="1" x14ac:dyDescent="0.3">
      <c r="A483" s="13"/>
      <c r="B483" s="13"/>
      <c r="C483" s="13"/>
      <c r="D483" s="15"/>
      <c r="E483" s="13"/>
    </row>
    <row r="484" spans="1:5" ht="14.25" customHeight="1" x14ac:dyDescent="0.3">
      <c r="A484" s="13"/>
      <c r="B484" s="13"/>
      <c r="C484" s="13"/>
      <c r="D484" s="15"/>
      <c r="E484" s="13"/>
    </row>
    <row r="485" spans="1:5" ht="14.25" customHeight="1" x14ac:dyDescent="0.3">
      <c r="A485" s="13"/>
      <c r="B485" s="13"/>
      <c r="C485" s="13"/>
      <c r="D485" s="15"/>
      <c r="E485" s="13"/>
    </row>
    <row r="486" spans="1:5" ht="14.25" customHeight="1" x14ac:dyDescent="0.3">
      <c r="A486" s="13"/>
      <c r="B486" s="13"/>
      <c r="C486" s="13"/>
      <c r="D486" s="15"/>
      <c r="E486" s="13"/>
    </row>
    <row r="487" spans="1:5" ht="14.25" customHeight="1" x14ac:dyDescent="0.3">
      <c r="A487" s="13"/>
      <c r="B487" s="13"/>
      <c r="C487" s="13"/>
      <c r="D487" s="15"/>
      <c r="E487" s="13"/>
    </row>
    <row r="488" spans="1:5" ht="14.25" customHeight="1" x14ac:dyDescent="0.3">
      <c r="A488" s="13"/>
      <c r="B488" s="13"/>
      <c r="C488" s="13"/>
      <c r="D488" s="15"/>
      <c r="E488" s="13"/>
    </row>
    <row r="489" spans="1:5" ht="14.25" customHeight="1" x14ac:dyDescent="0.3">
      <c r="A489" s="13"/>
      <c r="B489" s="13"/>
      <c r="C489" s="13"/>
      <c r="D489" s="15"/>
      <c r="E489" s="13"/>
    </row>
    <row r="490" spans="1:5" ht="14.25" customHeight="1" x14ac:dyDescent="0.3">
      <c r="A490" s="13"/>
      <c r="B490" s="13"/>
      <c r="C490" s="13"/>
      <c r="D490" s="15"/>
      <c r="E490" s="13"/>
    </row>
    <row r="491" spans="1:5" ht="14.25" customHeight="1" x14ac:dyDescent="0.3">
      <c r="A491" s="13"/>
      <c r="B491" s="13"/>
      <c r="C491" s="13"/>
      <c r="D491" s="15"/>
      <c r="E491" s="13"/>
    </row>
    <row r="492" spans="1:5" ht="14.25" customHeight="1" x14ac:dyDescent="0.3">
      <c r="A492" s="13"/>
      <c r="B492" s="13"/>
      <c r="C492" s="13"/>
      <c r="D492" s="15"/>
      <c r="E492" s="13"/>
    </row>
    <row r="493" spans="1:5" ht="14.25" customHeight="1" x14ac:dyDescent="0.3">
      <c r="A493" s="13"/>
      <c r="B493" s="13"/>
      <c r="C493" s="13"/>
      <c r="D493" s="15"/>
      <c r="E493" s="13"/>
    </row>
    <row r="494" spans="1:5" ht="14.25" customHeight="1" x14ac:dyDescent="0.3">
      <c r="A494" s="13"/>
      <c r="B494" s="13"/>
      <c r="C494" s="13"/>
      <c r="D494" s="15"/>
      <c r="E494" s="13"/>
    </row>
    <row r="495" spans="1:5" ht="14.25" customHeight="1" x14ac:dyDescent="0.3">
      <c r="A495" s="13"/>
      <c r="B495" s="13"/>
      <c r="C495" s="13"/>
      <c r="D495" s="15"/>
      <c r="E495" s="13"/>
    </row>
    <row r="496" spans="1:5" ht="14.25" customHeight="1" x14ac:dyDescent="0.3">
      <c r="A496" s="13"/>
      <c r="B496" s="13"/>
      <c r="C496" s="13"/>
      <c r="D496" s="15"/>
      <c r="E496" s="13"/>
    </row>
    <row r="497" spans="1:5" ht="14.25" customHeight="1" x14ac:dyDescent="0.3">
      <c r="A497" s="13"/>
      <c r="B497" s="13"/>
      <c r="C497" s="13"/>
      <c r="D497" s="15"/>
      <c r="E497" s="13"/>
    </row>
    <row r="498" spans="1:5" ht="14.25" customHeight="1" x14ac:dyDescent="0.3">
      <c r="A498" s="13"/>
      <c r="B498" s="13"/>
      <c r="C498" s="13"/>
      <c r="D498" s="15"/>
      <c r="E498" s="13"/>
    </row>
    <row r="499" spans="1:5" ht="14.25" customHeight="1" x14ac:dyDescent="0.3">
      <c r="A499" s="13"/>
      <c r="B499" s="13"/>
      <c r="C499" s="13"/>
      <c r="D499" s="15"/>
      <c r="E499" s="13"/>
    </row>
    <row r="500" spans="1:5" ht="14.25" customHeight="1" x14ac:dyDescent="0.3">
      <c r="A500" s="13"/>
      <c r="B500" s="13"/>
      <c r="C500" s="13"/>
      <c r="D500" s="15"/>
      <c r="E500" s="13"/>
    </row>
    <row r="501" spans="1:5" ht="14.25" customHeight="1" x14ac:dyDescent="0.3">
      <c r="A501" s="13"/>
      <c r="B501" s="13"/>
      <c r="C501" s="13"/>
      <c r="D501" s="15"/>
      <c r="E501" s="13"/>
    </row>
    <row r="502" spans="1:5" ht="14.25" customHeight="1" x14ac:dyDescent="0.3">
      <c r="A502" s="13"/>
      <c r="B502" s="13"/>
      <c r="C502" s="13"/>
      <c r="D502" s="15"/>
      <c r="E502" s="13"/>
    </row>
    <row r="503" spans="1:5" ht="14.25" customHeight="1" x14ac:dyDescent="0.3">
      <c r="A503" s="13"/>
      <c r="B503" s="13"/>
      <c r="C503" s="13"/>
      <c r="D503" s="15"/>
      <c r="E503" s="13"/>
    </row>
    <row r="504" spans="1:5" ht="14.25" customHeight="1" x14ac:dyDescent="0.3">
      <c r="A504" s="13"/>
      <c r="B504" s="13"/>
      <c r="C504" s="13"/>
      <c r="D504" s="15"/>
      <c r="E504" s="13"/>
    </row>
    <row r="505" spans="1:5" ht="14.25" customHeight="1" x14ac:dyDescent="0.3">
      <c r="A505" s="13"/>
      <c r="B505" s="13"/>
      <c r="C505" s="13"/>
      <c r="D505" s="15"/>
      <c r="E505" s="13"/>
    </row>
    <row r="506" spans="1:5" ht="14.25" customHeight="1" x14ac:dyDescent="0.3">
      <c r="A506" s="13"/>
      <c r="B506" s="13"/>
      <c r="C506" s="13"/>
      <c r="D506" s="15"/>
      <c r="E506" s="13"/>
    </row>
    <row r="507" spans="1:5" ht="14.25" customHeight="1" x14ac:dyDescent="0.3">
      <c r="A507" s="13"/>
      <c r="B507" s="13"/>
      <c r="C507" s="13"/>
      <c r="D507" s="15"/>
      <c r="E507" s="13"/>
    </row>
    <row r="508" spans="1:5" ht="14.25" customHeight="1" x14ac:dyDescent="0.3">
      <c r="A508" s="13"/>
      <c r="B508" s="13"/>
      <c r="C508" s="13"/>
      <c r="D508" s="15"/>
      <c r="E508" s="13"/>
    </row>
    <row r="509" spans="1:5" ht="14.25" customHeight="1" x14ac:dyDescent="0.3">
      <c r="A509" s="13"/>
      <c r="B509" s="13"/>
      <c r="C509" s="13"/>
      <c r="D509" s="15"/>
      <c r="E509" s="13"/>
    </row>
    <row r="510" spans="1:5" ht="14.25" customHeight="1" x14ac:dyDescent="0.3">
      <c r="A510" s="13"/>
      <c r="B510" s="13"/>
      <c r="C510" s="13"/>
      <c r="D510" s="15"/>
      <c r="E510" s="13"/>
    </row>
    <row r="511" spans="1:5" ht="14.25" customHeight="1" x14ac:dyDescent="0.3">
      <c r="A511" s="13"/>
      <c r="B511" s="13"/>
      <c r="C511" s="13"/>
      <c r="D511" s="15"/>
      <c r="E511" s="13"/>
    </row>
    <row r="512" spans="1:5" ht="14.25" customHeight="1" x14ac:dyDescent="0.3">
      <c r="A512" s="13"/>
      <c r="B512" s="13"/>
      <c r="C512" s="13"/>
      <c r="D512" s="15"/>
      <c r="E512" s="13"/>
    </row>
    <row r="513" spans="1:5" ht="14.25" customHeight="1" x14ac:dyDescent="0.3">
      <c r="A513" s="13"/>
      <c r="B513" s="13"/>
      <c r="C513" s="13"/>
      <c r="D513" s="15"/>
      <c r="E513" s="13"/>
    </row>
    <row r="514" spans="1:5" ht="14.25" customHeight="1" x14ac:dyDescent="0.3">
      <c r="A514" s="13"/>
      <c r="B514" s="13"/>
      <c r="C514" s="13"/>
      <c r="D514" s="15"/>
      <c r="E514" s="13"/>
    </row>
    <row r="515" spans="1:5" ht="14.25" customHeight="1" x14ac:dyDescent="0.3">
      <c r="A515" s="13"/>
      <c r="B515" s="13"/>
      <c r="C515" s="13"/>
      <c r="D515" s="15"/>
      <c r="E515" s="13"/>
    </row>
    <row r="516" spans="1:5" ht="14.25" customHeight="1" x14ac:dyDescent="0.3">
      <c r="A516" s="13"/>
      <c r="B516" s="13"/>
      <c r="C516" s="13"/>
      <c r="D516" s="15"/>
      <c r="E516" s="13"/>
    </row>
    <row r="517" spans="1:5" ht="14.25" customHeight="1" x14ac:dyDescent="0.3">
      <c r="A517" s="13"/>
      <c r="B517" s="13"/>
      <c r="C517" s="13"/>
      <c r="D517" s="15"/>
      <c r="E517" s="13"/>
    </row>
    <row r="518" spans="1:5" ht="14.25" customHeight="1" x14ac:dyDescent="0.3">
      <c r="A518" s="13"/>
      <c r="B518" s="13"/>
      <c r="C518" s="13"/>
      <c r="D518" s="15"/>
      <c r="E518" s="13"/>
    </row>
    <row r="519" spans="1:5" ht="14.25" customHeight="1" x14ac:dyDescent="0.3">
      <c r="A519" s="13"/>
      <c r="B519" s="13"/>
      <c r="C519" s="13"/>
      <c r="D519" s="15"/>
      <c r="E519" s="13"/>
    </row>
    <row r="520" spans="1:5" ht="14.25" customHeight="1" x14ac:dyDescent="0.3">
      <c r="A520" s="13"/>
      <c r="B520" s="13"/>
      <c r="C520" s="13"/>
      <c r="D520" s="15"/>
      <c r="E520" s="13"/>
    </row>
    <row r="521" spans="1:5" ht="14.25" customHeight="1" x14ac:dyDescent="0.3">
      <c r="A521" s="13"/>
      <c r="B521" s="13"/>
      <c r="C521" s="13"/>
      <c r="D521" s="15"/>
      <c r="E521" s="13"/>
    </row>
    <row r="522" spans="1:5" ht="14.25" customHeight="1" x14ac:dyDescent="0.3">
      <c r="A522" s="13"/>
      <c r="B522" s="13"/>
      <c r="C522" s="13"/>
      <c r="D522" s="15"/>
      <c r="E522" s="13"/>
    </row>
    <row r="523" spans="1:5" ht="14.25" customHeight="1" x14ac:dyDescent="0.3">
      <c r="A523" s="13"/>
      <c r="B523" s="13"/>
      <c r="C523" s="13"/>
      <c r="D523" s="15"/>
      <c r="E523" s="13"/>
    </row>
    <row r="524" spans="1:5" ht="14.25" customHeight="1" x14ac:dyDescent="0.3">
      <c r="A524" s="13"/>
      <c r="B524" s="13"/>
      <c r="C524" s="13"/>
      <c r="D524" s="15"/>
      <c r="E524" s="13"/>
    </row>
    <row r="525" spans="1:5" ht="14.25" customHeight="1" x14ac:dyDescent="0.3">
      <c r="A525" s="13"/>
      <c r="B525" s="13"/>
      <c r="C525" s="13"/>
      <c r="D525" s="15"/>
      <c r="E525" s="13"/>
    </row>
    <row r="526" spans="1:5" ht="14.25" customHeight="1" x14ac:dyDescent="0.3">
      <c r="A526" s="13"/>
      <c r="B526" s="13"/>
      <c r="C526" s="13"/>
      <c r="D526" s="15"/>
      <c r="E526" s="13"/>
    </row>
    <row r="527" spans="1:5" ht="14.25" customHeight="1" x14ac:dyDescent="0.3">
      <c r="A527" s="13"/>
      <c r="B527" s="13"/>
      <c r="C527" s="13"/>
      <c r="D527" s="15"/>
      <c r="E527" s="13"/>
    </row>
    <row r="528" spans="1:5" ht="14.25" customHeight="1" x14ac:dyDescent="0.3">
      <c r="A528" s="13"/>
      <c r="B528" s="13"/>
      <c r="C528" s="13"/>
      <c r="D528" s="15"/>
      <c r="E528" s="13"/>
    </row>
    <row r="529" spans="1:5" ht="14.25" customHeight="1" x14ac:dyDescent="0.3">
      <c r="A529" s="13"/>
      <c r="B529" s="13"/>
      <c r="C529" s="13"/>
      <c r="D529" s="15"/>
      <c r="E529" s="13"/>
    </row>
    <row r="530" spans="1:5" ht="14.25" customHeight="1" x14ac:dyDescent="0.3">
      <c r="A530" s="13"/>
      <c r="B530" s="13"/>
      <c r="C530" s="13"/>
      <c r="D530" s="15"/>
      <c r="E530" s="13"/>
    </row>
    <row r="531" spans="1:5" ht="14.25" customHeight="1" x14ac:dyDescent="0.3">
      <c r="A531" s="13"/>
      <c r="B531" s="13"/>
      <c r="C531" s="13"/>
      <c r="D531" s="15"/>
      <c r="E531" s="13"/>
    </row>
    <row r="532" spans="1:5" ht="14.25" customHeight="1" x14ac:dyDescent="0.3">
      <c r="A532" s="13"/>
      <c r="B532" s="13"/>
      <c r="C532" s="13"/>
      <c r="D532" s="15"/>
      <c r="E532" s="13"/>
    </row>
    <row r="533" spans="1:5" ht="14.25" customHeight="1" x14ac:dyDescent="0.3">
      <c r="A533" s="13"/>
      <c r="B533" s="13"/>
      <c r="C533" s="13"/>
      <c r="D533" s="15"/>
      <c r="E533" s="13"/>
    </row>
    <row r="534" spans="1:5" ht="14.25" customHeight="1" x14ac:dyDescent="0.3">
      <c r="A534" s="13"/>
      <c r="B534" s="13"/>
      <c r="C534" s="13"/>
      <c r="D534" s="15"/>
      <c r="E534" s="13"/>
    </row>
    <row r="535" spans="1:5" ht="14.25" customHeight="1" x14ac:dyDescent="0.3">
      <c r="A535" s="13"/>
      <c r="B535" s="13"/>
      <c r="C535" s="13"/>
      <c r="D535" s="15"/>
      <c r="E535" s="13"/>
    </row>
    <row r="536" spans="1:5" ht="14.25" customHeight="1" x14ac:dyDescent="0.3">
      <c r="A536" s="13"/>
      <c r="B536" s="13"/>
      <c r="C536" s="13"/>
      <c r="D536" s="15"/>
      <c r="E536" s="13"/>
    </row>
    <row r="537" spans="1:5" ht="14.25" customHeight="1" x14ac:dyDescent="0.3">
      <c r="A537" s="13"/>
      <c r="B537" s="13"/>
      <c r="C537" s="13"/>
      <c r="D537" s="15"/>
      <c r="E537" s="13"/>
    </row>
    <row r="538" spans="1:5" ht="14.25" customHeight="1" x14ac:dyDescent="0.3">
      <c r="A538" s="13"/>
      <c r="B538" s="13"/>
      <c r="C538" s="13"/>
      <c r="D538" s="15"/>
      <c r="E538" s="13"/>
    </row>
    <row r="539" spans="1:5" ht="14.25" customHeight="1" x14ac:dyDescent="0.3">
      <c r="A539" s="13"/>
      <c r="B539" s="13"/>
      <c r="C539" s="13"/>
      <c r="D539" s="15"/>
      <c r="E539" s="13"/>
    </row>
    <row r="540" spans="1:5" ht="14.25" customHeight="1" x14ac:dyDescent="0.3">
      <c r="A540" s="13"/>
      <c r="B540" s="13"/>
      <c r="C540" s="13"/>
      <c r="D540" s="15"/>
      <c r="E540" s="13"/>
    </row>
    <row r="541" spans="1:5" ht="14.25" customHeight="1" x14ac:dyDescent="0.3">
      <c r="A541" s="13"/>
      <c r="B541" s="13"/>
      <c r="C541" s="13"/>
      <c r="D541" s="15"/>
      <c r="E541" s="13"/>
    </row>
    <row r="542" spans="1:5" ht="14.25" customHeight="1" x14ac:dyDescent="0.3">
      <c r="A542" s="13"/>
      <c r="B542" s="13"/>
      <c r="C542" s="13"/>
      <c r="D542" s="15"/>
      <c r="E542" s="13"/>
    </row>
    <row r="543" spans="1:5" ht="14.25" customHeight="1" x14ac:dyDescent="0.3">
      <c r="A543" s="13"/>
      <c r="B543" s="13"/>
      <c r="C543" s="13"/>
      <c r="D543" s="15"/>
      <c r="E543" s="13"/>
    </row>
    <row r="544" spans="1:5" ht="14.25" customHeight="1" x14ac:dyDescent="0.3">
      <c r="A544" s="13"/>
      <c r="B544" s="13"/>
      <c r="C544" s="13"/>
      <c r="D544" s="15"/>
      <c r="E544" s="13"/>
    </row>
    <row r="545" spans="1:5" ht="14.25" customHeight="1" x14ac:dyDescent="0.3">
      <c r="A545" s="13"/>
      <c r="B545" s="13"/>
      <c r="C545" s="13"/>
      <c r="D545" s="15"/>
      <c r="E545" s="13"/>
    </row>
    <row r="546" spans="1:5" ht="14.25" customHeight="1" x14ac:dyDescent="0.3">
      <c r="A546" s="13"/>
      <c r="B546" s="13"/>
      <c r="C546" s="13"/>
      <c r="D546" s="15"/>
      <c r="E546" s="13"/>
    </row>
    <row r="547" spans="1:5" ht="14.25" customHeight="1" x14ac:dyDescent="0.3">
      <c r="A547" s="13"/>
      <c r="B547" s="13"/>
      <c r="C547" s="13"/>
      <c r="D547" s="15"/>
      <c r="E547" s="13"/>
    </row>
    <row r="548" spans="1:5" ht="14.25" customHeight="1" x14ac:dyDescent="0.3">
      <c r="A548" s="13"/>
      <c r="B548" s="13"/>
      <c r="C548" s="13"/>
      <c r="D548" s="15"/>
      <c r="E548" s="13"/>
    </row>
    <row r="549" spans="1:5" ht="14.25" customHeight="1" x14ac:dyDescent="0.3">
      <c r="A549" s="13"/>
      <c r="B549" s="13"/>
      <c r="C549" s="13"/>
      <c r="D549" s="15"/>
      <c r="E549" s="13"/>
    </row>
    <row r="550" spans="1:5" ht="14.25" customHeight="1" x14ac:dyDescent="0.3">
      <c r="A550" s="13"/>
      <c r="B550" s="13"/>
      <c r="C550" s="13"/>
      <c r="D550" s="15"/>
      <c r="E550" s="13"/>
    </row>
    <row r="551" spans="1:5" ht="14.25" customHeight="1" x14ac:dyDescent="0.3">
      <c r="A551" s="13"/>
      <c r="B551" s="13"/>
      <c r="C551" s="13"/>
      <c r="D551" s="15"/>
      <c r="E551" s="13"/>
    </row>
    <row r="552" spans="1:5" ht="14.25" customHeight="1" x14ac:dyDescent="0.3">
      <c r="A552" s="13"/>
      <c r="B552" s="13"/>
      <c r="C552" s="13"/>
      <c r="D552" s="15"/>
      <c r="E552" s="13"/>
    </row>
    <row r="553" spans="1:5" ht="14.25" customHeight="1" x14ac:dyDescent="0.3">
      <c r="A553" s="13"/>
      <c r="B553" s="13"/>
      <c r="C553" s="13"/>
      <c r="D553" s="15"/>
      <c r="E553" s="13"/>
    </row>
    <row r="554" spans="1:5" ht="14.25" customHeight="1" x14ac:dyDescent="0.3">
      <c r="A554" s="13"/>
      <c r="B554" s="13"/>
      <c r="C554" s="13"/>
      <c r="D554" s="15"/>
      <c r="E554" s="13"/>
    </row>
    <row r="555" spans="1:5" ht="14.25" customHeight="1" x14ac:dyDescent="0.3">
      <c r="A555" s="13"/>
      <c r="B555" s="13"/>
      <c r="C555" s="13"/>
      <c r="D555" s="15"/>
      <c r="E555" s="13"/>
    </row>
    <row r="556" spans="1:5" ht="14.25" customHeight="1" x14ac:dyDescent="0.3">
      <c r="A556" s="13"/>
      <c r="B556" s="13"/>
      <c r="C556" s="13"/>
      <c r="D556" s="15"/>
      <c r="E556" s="13"/>
    </row>
    <row r="557" spans="1:5" ht="14.25" customHeight="1" x14ac:dyDescent="0.3">
      <c r="A557" s="13"/>
      <c r="B557" s="13"/>
      <c r="C557" s="13"/>
      <c r="D557" s="15"/>
      <c r="E557" s="13"/>
    </row>
    <row r="558" spans="1:5" ht="14.25" customHeight="1" x14ac:dyDescent="0.3">
      <c r="A558" s="13"/>
      <c r="B558" s="13"/>
      <c r="C558" s="13"/>
      <c r="D558" s="15"/>
      <c r="E558" s="13"/>
    </row>
    <row r="559" spans="1:5" ht="14.25" customHeight="1" x14ac:dyDescent="0.3">
      <c r="A559" s="13"/>
      <c r="B559" s="13"/>
      <c r="C559" s="13"/>
      <c r="D559" s="15"/>
      <c r="E559" s="13"/>
    </row>
    <row r="560" spans="1:5" ht="14.25" customHeight="1" x14ac:dyDescent="0.3">
      <c r="A560" s="13"/>
      <c r="B560" s="13"/>
      <c r="C560" s="13"/>
      <c r="D560" s="15"/>
      <c r="E560" s="13"/>
    </row>
    <row r="561" spans="1:5" ht="14.25" customHeight="1" x14ac:dyDescent="0.3">
      <c r="A561" s="13"/>
      <c r="B561" s="13"/>
      <c r="C561" s="13"/>
      <c r="D561" s="15"/>
      <c r="E561" s="13"/>
    </row>
    <row r="562" spans="1:5" ht="14.25" customHeight="1" x14ac:dyDescent="0.3">
      <c r="A562" s="13"/>
      <c r="B562" s="13"/>
      <c r="C562" s="13"/>
      <c r="D562" s="15"/>
      <c r="E562" s="13"/>
    </row>
    <row r="563" spans="1:5" ht="14.25" customHeight="1" x14ac:dyDescent="0.3">
      <c r="A563" s="13"/>
      <c r="B563" s="13"/>
      <c r="C563" s="13"/>
      <c r="D563" s="15"/>
      <c r="E563" s="13"/>
    </row>
    <row r="564" spans="1:5" ht="14.25" customHeight="1" x14ac:dyDescent="0.3">
      <c r="A564" s="13"/>
      <c r="B564" s="13"/>
      <c r="C564" s="13"/>
      <c r="D564" s="15"/>
      <c r="E564" s="13"/>
    </row>
    <row r="565" spans="1:5" ht="14.25" customHeight="1" x14ac:dyDescent="0.3">
      <c r="A565" s="13"/>
      <c r="B565" s="13"/>
      <c r="C565" s="13"/>
      <c r="D565" s="15"/>
      <c r="E565" s="13"/>
    </row>
    <row r="566" spans="1:5" ht="14.25" customHeight="1" x14ac:dyDescent="0.3">
      <c r="A566" s="13"/>
      <c r="B566" s="13"/>
      <c r="C566" s="13"/>
      <c r="D566" s="15"/>
      <c r="E566" s="13"/>
    </row>
    <row r="567" spans="1:5" ht="14.25" customHeight="1" x14ac:dyDescent="0.3">
      <c r="A567" s="13"/>
      <c r="B567" s="13"/>
      <c r="C567" s="13"/>
      <c r="D567" s="15"/>
      <c r="E567" s="13"/>
    </row>
    <row r="568" spans="1:5" ht="14.25" customHeight="1" x14ac:dyDescent="0.3">
      <c r="A568" s="13"/>
      <c r="B568" s="13"/>
      <c r="C568" s="13"/>
      <c r="D568" s="15"/>
      <c r="E568" s="13"/>
    </row>
    <row r="569" spans="1:5" ht="14.25" customHeight="1" x14ac:dyDescent="0.3">
      <c r="A569" s="13"/>
      <c r="B569" s="13"/>
      <c r="C569" s="13"/>
      <c r="D569" s="15"/>
      <c r="E569" s="13"/>
    </row>
    <row r="570" spans="1:5" ht="14.25" customHeight="1" x14ac:dyDescent="0.3">
      <c r="A570" s="13"/>
      <c r="B570" s="13"/>
      <c r="C570" s="13"/>
      <c r="D570" s="15"/>
      <c r="E570" s="13"/>
    </row>
    <row r="571" spans="1:5" ht="14.25" customHeight="1" x14ac:dyDescent="0.3">
      <c r="A571" s="13"/>
      <c r="B571" s="13"/>
      <c r="C571" s="13"/>
      <c r="D571" s="15"/>
      <c r="E571" s="13"/>
    </row>
    <row r="572" spans="1:5" ht="14.25" customHeight="1" x14ac:dyDescent="0.3">
      <c r="A572" s="13"/>
      <c r="B572" s="13"/>
      <c r="C572" s="13"/>
      <c r="D572" s="15"/>
      <c r="E572" s="13"/>
    </row>
    <row r="573" spans="1:5" ht="14.25" customHeight="1" x14ac:dyDescent="0.3">
      <c r="A573" s="13"/>
      <c r="B573" s="13"/>
      <c r="C573" s="13"/>
      <c r="D573" s="15"/>
      <c r="E573" s="13"/>
    </row>
    <row r="574" spans="1:5" ht="14.25" customHeight="1" x14ac:dyDescent="0.3">
      <c r="A574" s="13"/>
      <c r="B574" s="13"/>
      <c r="C574" s="13"/>
      <c r="D574" s="15"/>
      <c r="E574" s="13"/>
    </row>
    <row r="575" spans="1:5" ht="14.25" customHeight="1" x14ac:dyDescent="0.3">
      <c r="A575" s="13"/>
      <c r="B575" s="13"/>
      <c r="C575" s="13"/>
      <c r="D575" s="15"/>
      <c r="E575" s="13"/>
    </row>
    <row r="576" spans="1:5" ht="14.25" customHeight="1" x14ac:dyDescent="0.3">
      <c r="A576" s="13"/>
      <c r="B576" s="13"/>
      <c r="C576" s="13"/>
      <c r="D576" s="15"/>
      <c r="E576" s="13"/>
    </row>
    <row r="577" spans="1:5" ht="14.25" customHeight="1" x14ac:dyDescent="0.3">
      <c r="A577" s="13"/>
      <c r="B577" s="13"/>
      <c r="C577" s="13"/>
      <c r="D577" s="15"/>
      <c r="E577" s="13"/>
    </row>
    <row r="578" spans="1:5" ht="14.25" customHeight="1" x14ac:dyDescent="0.3">
      <c r="A578" s="13"/>
      <c r="B578" s="13"/>
      <c r="C578" s="13"/>
      <c r="D578" s="15"/>
      <c r="E578" s="13"/>
    </row>
    <row r="579" spans="1:5" ht="14.25" customHeight="1" x14ac:dyDescent="0.3">
      <c r="A579" s="13"/>
      <c r="B579" s="13"/>
      <c r="C579" s="13"/>
      <c r="D579" s="15"/>
      <c r="E579" s="13"/>
    </row>
    <row r="580" spans="1:5" ht="14.25" customHeight="1" x14ac:dyDescent="0.3">
      <c r="A580" s="13"/>
      <c r="B580" s="13"/>
      <c r="C580" s="13"/>
      <c r="D580" s="15"/>
      <c r="E580" s="13"/>
    </row>
    <row r="581" spans="1:5" ht="14.25" customHeight="1" x14ac:dyDescent="0.3">
      <c r="A581" s="13"/>
      <c r="B581" s="13"/>
      <c r="C581" s="13"/>
      <c r="D581" s="15"/>
      <c r="E581" s="13"/>
    </row>
    <row r="582" spans="1:5" ht="14.25" customHeight="1" x14ac:dyDescent="0.3">
      <c r="A582" s="13"/>
      <c r="B582" s="13"/>
      <c r="C582" s="13"/>
      <c r="D582" s="15"/>
      <c r="E582" s="13"/>
    </row>
    <row r="583" spans="1:5" ht="14.25" customHeight="1" x14ac:dyDescent="0.3">
      <c r="A583" s="13"/>
      <c r="B583" s="13"/>
      <c r="C583" s="13"/>
      <c r="D583" s="15"/>
      <c r="E583" s="13"/>
    </row>
    <row r="584" spans="1:5" ht="14.25" customHeight="1" x14ac:dyDescent="0.3">
      <c r="A584" s="13"/>
      <c r="B584" s="13"/>
      <c r="C584" s="13"/>
      <c r="D584" s="15"/>
      <c r="E584" s="13"/>
    </row>
    <row r="585" spans="1:5" ht="14.25" customHeight="1" x14ac:dyDescent="0.3">
      <c r="A585" s="13"/>
      <c r="B585" s="13"/>
      <c r="C585" s="13"/>
      <c r="D585" s="15"/>
      <c r="E585" s="13"/>
    </row>
    <row r="586" spans="1:5" ht="14.25" customHeight="1" x14ac:dyDescent="0.3">
      <c r="A586" s="13"/>
      <c r="B586" s="13"/>
      <c r="C586" s="13"/>
      <c r="D586" s="15"/>
      <c r="E586" s="13"/>
    </row>
    <row r="587" spans="1:5" ht="14.25" customHeight="1" x14ac:dyDescent="0.3">
      <c r="A587" s="13"/>
      <c r="B587" s="13"/>
      <c r="C587" s="13"/>
      <c r="D587" s="15"/>
      <c r="E587" s="13"/>
    </row>
    <row r="588" spans="1:5" ht="14.25" customHeight="1" x14ac:dyDescent="0.3">
      <c r="A588" s="13"/>
      <c r="B588" s="13"/>
      <c r="C588" s="13"/>
      <c r="D588" s="15"/>
      <c r="E588" s="13"/>
    </row>
    <row r="589" spans="1:5" ht="14.25" customHeight="1" x14ac:dyDescent="0.3">
      <c r="A589" s="13"/>
      <c r="B589" s="13"/>
      <c r="C589" s="13"/>
      <c r="D589" s="15"/>
      <c r="E589" s="13"/>
    </row>
    <row r="590" spans="1:5" ht="14.25" customHeight="1" x14ac:dyDescent="0.3">
      <c r="A590" s="13"/>
      <c r="B590" s="13"/>
      <c r="C590" s="13"/>
      <c r="D590" s="15"/>
      <c r="E590" s="13"/>
    </row>
    <row r="591" spans="1:5" ht="14.25" customHeight="1" x14ac:dyDescent="0.3">
      <c r="A591" s="13"/>
      <c r="B591" s="13"/>
      <c r="C591" s="13"/>
      <c r="D591" s="15"/>
      <c r="E591" s="13"/>
    </row>
    <row r="592" spans="1:5" ht="14.25" customHeight="1" x14ac:dyDescent="0.3">
      <c r="A592" s="13"/>
      <c r="B592" s="13"/>
      <c r="C592" s="13"/>
      <c r="D592" s="15"/>
      <c r="E592" s="13"/>
    </row>
    <row r="593" spans="1:5" ht="14.25" customHeight="1" x14ac:dyDescent="0.3">
      <c r="A593" s="13"/>
      <c r="B593" s="13"/>
      <c r="C593" s="13"/>
      <c r="D593" s="15"/>
      <c r="E593" s="13"/>
    </row>
    <row r="594" spans="1:5" ht="14.25" customHeight="1" x14ac:dyDescent="0.3">
      <c r="A594" s="13"/>
      <c r="B594" s="13"/>
      <c r="C594" s="13"/>
      <c r="D594" s="15"/>
      <c r="E594" s="13"/>
    </row>
    <row r="595" spans="1:5" ht="14.25" customHeight="1" x14ac:dyDescent="0.3">
      <c r="A595" s="13"/>
      <c r="B595" s="13"/>
      <c r="C595" s="13"/>
      <c r="D595" s="15"/>
      <c r="E595" s="13"/>
    </row>
    <row r="596" spans="1:5" ht="14.25" customHeight="1" x14ac:dyDescent="0.3">
      <c r="A596" s="13"/>
      <c r="B596" s="13"/>
      <c r="C596" s="13"/>
      <c r="D596" s="15"/>
      <c r="E596" s="13"/>
    </row>
    <row r="597" spans="1:5" ht="14.25" customHeight="1" x14ac:dyDescent="0.3">
      <c r="A597" s="13"/>
      <c r="B597" s="13"/>
      <c r="C597" s="13"/>
      <c r="D597" s="15"/>
      <c r="E597" s="13"/>
    </row>
    <row r="598" spans="1:5" ht="14.25" customHeight="1" x14ac:dyDescent="0.3">
      <c r="A598" s="13"/>
      <c r="B598" s="13"/>
      <c r="C598" s="13"/>
      <c r="D598" s="15"/>
      <c r="E598" s="13"/>
    </row>
    <row r="599" spans="1:5" ht="14.25" customHeight="1" x14ac:dyDescent="0.3">
      <c r="A599" s="13"/>
      <c r="B599" s="13"/>
      <c r="C599" s="13"/>
      <c r="D599" s="15"/>
      <c r="E599" s="13"/>
    </row>
    <row r="600" spans="1:5" ht="14.25" customHeight="1" x14ac:dyDescent="0.3">
      <c r="A600" s="13"/>
      <c r="B600" s="13"/>
      <c r="C600" s="13"/>
      <c r="D600" s="15"/>
      <c r="E600" s="13"/>
    </row>
    <row r="601" spans="1:5" ht="14.25" customHeight="1" x14ac:dyDescent="0.3">
      <c r="A601" s="13"/>
      <c r="B601" s="13"/>
      <c r="C601" s="13"/>
      <c r="D601" s="15"/>
      <c r="E601" s="13"/>
    </row>
    <row r="602" spans="1:5" ht="14.25" customHeight="1" x14ac:dyDescent="0.3">
      <c r="A602" s="13"/>
      <c r="B602" s="13"/>
      <c r="C602" s="13"/>
      <c r="D602" s="15"/>
      <c r="E602" s="13"/>
    </row>
    <row r="603" spans="1:5" ht="14.25" customHeight="1" x14ac:dyDescent="0.3">
      <c r="A603" s="13"/>
      <c r="B603" s="13"/>
      <c r="C603" s="13"/>
      <c r="D603" s="15"/>
      <c r="E603" s="13"/>
    </row>
    <row r="604" spans="1:5" ht="14.25" customHeight="1" x14ac:dyDescent="0.3">
      <c r="A604" s="13"/>
      <c r="B604" s="13"/>
      <c r="C604" s="13"/>
      <c r="D604" s="15"/>
      <c r="E604" s="13"/>
    </row>
    <row r="605" spans="1:5" ht="14.25" customHeight="1" x14ac:dyDescent="0.3">
      <c r="A605" s="13"/>
      <c r="B605" s="13"/>
      <c r="C605" s="13"/>
      <c r="D605" s="15"/>
      <c r="E605" s="13"/>
    </row>
    <row r="606" spans="1:5" ht="14.25" customHeight="1" x14ac:dyDescent="0.3">
      <c r="A606" s="13"/>
      <c r="B606" s="13"/>
      <c r="C606" s="13"/>
      <c r="D606" s="15"/>
      <c r="E606" s="13"/>
    </row>
    <row r="607" spans="1:5" ht="14.25" customHeight="1" x14ac:dyDescent="0.3">
      <c r="A607" s="13"/>
      <c r="B607" s="13"/>
      <c r="C607" s="13"/>
      <c r="D607" s="15"/>
      <c r="E607" s="13"/>
    </row>
    <row r="608" spans="1:5" ht="14.25" customHeight="1" x14ac:dyDescent="0.3">
      <c r="A608" s="13"/>
      <c r="B608" s="13"/>
      <c r="C608" s="13"/>
      <c r="D608" s="15"/>
      <c r="E608" s="13"/>
    </row>
    <row r="609" spans="1:5" ht="14.25" customHeight="1" x14ac:dyDescent="0.3">
      <c r="A609" s="13"/>
      <c r="B609" s="13"/>
      <c r="C609" s="13"/>
      <c r="D609" s="15"/>
      <c r="E609" s="13"/>
    </row>
    <row r="610" spans="1:5" ht="14.25" customHeight="1" x14ac:dyDescent="0.3">
      <c r="A610" s="13"/>
      <c r="B610" s="13"/>
      <c r="C610" s="13"/>
      <c r="D610" s="15"/>
      <c r="E610" s="13"/>
    </row>
    <row r="611" spans="1:5" ht="14.25" customHeight="1" x14ac:dyDescent="0.3">
      <c r="A611" s="13"/>
      <c r="B611" s="13"/>
      <c r="C611" s="13"/>
      <c r="D611" s="15"/>
      <c r="E611" s="13"/>
    </row>
    <row r="612" spans="1:5" ht="14.25" customHeight="1" x14ac:dyDescent="0.3">
      <c r="A612" s="13"/>
      <c r="B612" s="13"/>
      <c r="C612" s="13"/>
      <c r="D612" s="15"/>
      <c r="E612" s="13"/>
    </row>
    <row r="613" spans="1:5" ht="14.25" customHeight="1" x14ac:dyDescent="0.3">
      <c r="A613" s="13"/>
      <c r="B613" s="13"/>
      <c r="C613" s="13"/>
      <c r="D613" s="15"/>
      <c r="E613" s="13"/>
    </row>
    <row r="614" spans="1:5" ht="14.25" customHeight="1" x14ac:dyDescent="0.3">
      <c r="A614" s="13"/>
      <c r="B614" s="13"/>
      <c r="C614" s="13"/>
      <c r="D614" s="15"/>
      <c r="E614" s="13"/>
    </row>
    <row r="615" spans="1:5" ht="14.25" customHeight="1" x14ac:dyDescent="0.3">
      <c r="A615" s="13"/>
      <c r="B615" s="13"/>
      <c r="C615" s="13"/>
      <c r="D615" s="15"/>
      <c r="E615" s="13"/>
    </row>
    <row r="616" spans="1:5" ht="14.25" customHeight="1" x14ac:dyDescent="0.3">
      <c r="A616" s="13"/>
      <c r="B616" s="13"/>
      <c r="C616" s="13"/>
      <c r="D616" s="15"/>
      <c r="E616" s="13"/>
    </row>
    <row r="617" spans="1:5" ht="14.25" customHeight="1" x14ac:dyDescent="0.3">
      <c r="A617" s="13"/>
      <c r="B617" s="13"/>
      <c r="C617" s="13"/>
      <c r="D617" s="15"/>
      <c r="E617" s="13"/>
    </row>
    <row r="618" spans="1:5" ht="14.25" customHeight="1" x14ac:dyDescent="0.3">
      <c r="A618" s="13"/>
      <c r="B618" s="13"/>
      <c r="C618" s="13"/>
      <c r="D618" s="15"/>
      <c r="E618" s="13"/>
    </row>
    <row r="619" spans="1:5" ht="14.25" customHeight="1" x14ac:dyDescent="0.3">
      <c r="A619" s="13"/>
      <c r="B619" s="13"/>
      <c r="C619" s="13"/>
      <c r="D619" s="15"/>
      <c r="E619" s="13"/>
    </row>
    <row r="620" spans="1:5" ht="14.25" customHeight="1" x14ac:dyDescent="0.3">
      <c r="A620" s="13"/>
      <c r="B620" s="13"/>
      <c r="C620" s="13"/>
      <c r="D620" s="15"/>
      <c r="E620" s="13"/>
    </row>
    <row r="621" spans="1:5" ht="14.25" customHeight="1" x14ac:dyDescent="0.3">
      <c r="A621" s="13"/>
      <c r="B621" s="13"/>
      <c r="C621" s="13"/>
      <c r="D621" s="15"/>
      <c r="E621" s="13"/>
    </row>
    <row r="622" spans="1:5" ht="14.25" customHeight="1" x14ac:dyDescent="0.3">
      <c r="A622" s="13"/>
      <c r="B622" s="13"/>
      <c r="C622" s="13"/>
      <c r="D622" s="15"/>
      <c r="E622" s="13"/>
    </row>
    <row r="623" spans="1:5" ht="14.25" customHeight="1" x14ac:dyDescent="0.3">
      <c r="A623" s="13"/>
      <c r="B623" s="13"/>
      <c r="C623" s="13"/>
      <c r="D623" s="15"/>
      <c r="E623" s="13"/>
    </row>
    <row r="624" spans="1:5" ht="14.25" customHeight="1" x14ac:dyDescent="0.3">
      <c r="A624" s="13"/>
      <c r="B624" s="13"/>
      <c r="C624" s="13"/>
      <c r="D624" s="15"/>
      <c r="E624" s="13"/>
    </row>
    <row r="625" spans="1:5" ht="14.25" customHeight="1" x14ac:dyDescent="0.3">
      <c r="A625" s="13"/>
      <c r="B625" s="13"/>
      <c r="C625" s="13"/>
      <c r="D625" s="15"/>
      <c r="E625" s="13"/>
    </row>
    <row r="626" spans="1:5" ht="14.25" customHeight="1" x14ac:dyDescent="0.3">
      <c r="A626" s="13"/>
      <c r="B626" s="13"/>
      <c r="C626" s="13"/>
      <c r="D626" s="15"/>
      <c r="E626" s="13"/>
    </row>
    <row r="627" spans="1:5" ht="14.25" customHeight="1" x14ac:dyDescent="0.3">
      <c r="A627" s="13"/>
      <c r="B627" s="13"/>
      <c r="C627" s="13"/>
      <c r="D627" s="15"/>
      <c r="E627" s="13"/>
    </row>
    <row r="628" spans="1:5" ht="14.25" customHeight="1" x14ac:dyDescent="0.3">
      <c r="A628" s="13"/>
      <c r="B628" s="13"/>
      <c r="C628" s="13"/>
      <c r="D628" s="15"/>
      <c r="E628" s="13"/>
    </row>
    <row r="629" spans="1:5" ht="14.25" customHeight="1" x14ac:dyDescent="0.3">
      <c r="A629" s="13"/>
      <c r="B629" s="13"/>
      <c r="C629" s="13"/>
      <c r="D629" s="15"/>
      <c r="E629" s="13"/>
    </row>
    <row r="630" spans="1:5" ht="14.25" customHeight="1" x14ac:dyDescent="0.3">
      <c r="A630" s="13"/>
      <c r="B630" s="13"/>
      <c r="C630" s="13"/>
      <c r="D630" s="15"/>
      <c r="E630" s="13"/>
    </row>
    <row r="631" spans="1:5" ht="14.25" customHeight="1" x14ac:dyDescent="0.3">
      <c r="A631" s="13"/>
      <c r="B631" s="13"/>
      <c r="C631" s="13"/>
      <c r="D631" s="15"/>
      <c r="E631" s="13"/>
    </row>
    <row r="632" spans="1:5" ht="14.25" customHeight="1" x14ac:dyDescent="0.3">
      <c r="A632" s="13"/>
      <c r="B632" s="13"/>
      <c r="C632" s="13"/>
      <c r="D632" s="15"/>
      <c r="E632" s="13"/>
    </row>
    <row r="633" spans="1:5" ht="14.25" customHeight="1" x14ac:dyDescent="0.3">
      <c r="A633" s="13"/>
      <c r="B633" s="13"/>
      <c r="C633" s="13"/>
      <c r="D633" s="15"/>
      <c r="E633" s="13"/>
    </row>
    <row r="634" spans="1:5" ht="14.25" customHeight="1" x14ac:dyDescent="0.3">
      <c r="A634" s="13"/>
      <c r="B634" s="13"/>
      <c r="C634" s="13"/>
      <c r="D634" s="15"/>
      <c r="E634" s="13"/>
    </row>
    <row r="635" spans="1:5" ht="14.25" customHeight="1" x14ac:dyDescent="0.3">
      <c r="A635" s="13"/>
      <c r="B635" s="13"/>
      <c r="C635" s="13"/>
      <c r="D635" s="15"/>
      <c r="E635" s="13"/>
    </row>
    <row r="636" spans="1:5" ht="14.25" customHeight="1" x14ac:dyDescent="0.3">
      <c r="A636" s="13"/>
      <c r="B636" s="13"/>
      <c r="C636" s="13"/>
      <c r="D636" s="15"/>
      <c r="E636" s="13"/>
    </row>
    <row r="637" spans="1:5" ht="14.25" customHeight="1" x14ac:dyDescent="0.3">
      <c r="A637" s="13"/>
      <c r="B637" s="13"/>
      <c r="C637" s="13"/>
      <c r="D637" s="15"/>
      <c r="E637" s="13"/>
    </row>
    <row r="638" spans="1:5" ht="14.25" customHeight="1" x14ac:dyDescent="0.3">
      <c r="A638" s="13"/>
      <c r="B638" s="13"/>
      <c r="C638" s="13"/>
      <c r="D638" s="15"/>
      <c r="E638" s="13"/>
    </row>
    <row r="639" spans="1:5" ht="14.25" customHeight="1" x14ac:dyDescent="0.3">
      <c r="A639" s="13"/>
      <c r="B639" s="13"/>
      <c r="C639" s="13"/>
      <c r="D639" s="15"/>
      <c r="E639" s="13"/>
    </row>
    <row r="640" spans="1:5" ht="14.25" customHeight="1" x14ac:dyDescent="0.3">
      <c r="A640" s="13"/>
      <c r="B640" s="13"/>
      <c r="C640" s="13"/>
      <c r="D640" s="15"/>
      <c r="E640" s="13"/>
    </row>
    <row r="641" spans="1:5" ht="14.25" customHeight="1" x14ac:dyDescent="0.3">
      <c r="A641" s="13"/>
      <c r="B641" s="13"/>
      <c r="C641" s="13"/>
      <c r="D641" s="15"/>
      <c r="E641" s="13"/>
    </row>
    <row r="642" spans="1:5" ht="14.25" customHeight="1" x14ac:dyDescent="0.3">
      <c r="A642" s="13"/>
      <c r="B642" s="13"/>
      <c r="C642" s="13"/>
      <c r="D642" s="15"/>
      <c r="E642" s="13"/>
    </row>
    <row r="643" spans="1:5" ht="14.25" customHeight="1" x14ac:dyDescent="0.3">
      <c r="A643" s="13"/>
      <c r="B643" s="13"/>
      <c r="C643" s="13"/>
      <c r="D643" s="15"/>
      <c r="E643" s="13"/>
    </row>
    <row r="644" spans="1:5" ht="14.25" customHeight="1" x14ac:dyDescent="0.3">
      <c r="A644" s="13"/>
      <c r="B644" s="13"/>
      <c r="C644" s="13"/>
      <c r="D644" s="15"/>
      <c r="E644" s="13"/>
    </row>
    <row r="645" spans="1:5" ht="14.25" customHeight="1" x14ac:dyDescent="0.3">
      <c r="A645" s="13"/>
      <c r="B645" s="13"/>
      <c r="C645" s="13"/>
      <c r="D645" s="15"/>
      <c r="E645" s="13"/>
    </row>
    <row r="646" spans="1:5" ht="14.25" customHeight="1" x14ac:dyDescent="0.3">
      <c r="A646" s="13"/>
      <c r="B646" s="13"/>
      <c r="C646" s="13"/>
      <c r="D646" s="15"/>
      <c r="E646" s="13"/>
    </row>
    <row r="647" spans="1:5" ht="14.25" customHeight="1" x14ac:dyDescent="0.3">
      <c r="A647" s="13"/>
      <c r="B647" s="13"/>
      <c r="C647" s="13"/>
      <c r="D647" s="15"/>
      <c r="E647" s="13"/>
    </row>
    <row r="648" spans="1:5" ht="14.25" customHeight="1" x14ac:dyDescent="0.3">
      <c r="A648" s="13"/>
      <c r="B648" s="13"/>
      <c r="C648" s="13"/>
      <c r="D648" s="15"/>
      <c r="E648" s="13"/>
    </row>
    <row r="649" spans="1:5" ht="14.25" customHeight="1" x14ac:dyDescent="0.3">
      <c r="A649" s="13"/>
      <c r="B649" s="13"/>
      <c r="C649" s="13"/>
      <c r="D649" s="15"/>
      <c r="E649" s="13"/>
    </row>
    <row r="650" spans="1:5" ht="14.25" customHeight="1" x14ac:dyDescent="0.3">
      <c r="A650" s="13"/>
      <c r="B650" s="13"/>
      <c r="C650" s="13"/>
      <c r="D650" s="15"/>
      <c r="E650" s="13"/>
    </row>
    <row r="651" spans="1:5" ht="14.25" customHeight="1" x14ac:dyDescent="0.3">
      <c r="A651" s="13"/>
      <c r="B651" s="13"/>
      <c r="C651" s="13"/>
      <c r="D651" s="15"/>
      <c r="E651" s="13"/>
    </row>
    <row r="652" spans="1:5" ht="14.25" customHeight="1" x14ac:dyDescent="0.3">
      <c r="A652" s="13"/>
      <c r="B652" s="13"/>
      <c r="C652" s="13"/>
      <c r="D652" s="15"/>
      <c r="E652" s="13"/>
    </row>
    <row r="653" spans="1:5" ht="14.25" customHeight="1" x14ac:dyDescent="0.3">
      <c r="A653" s="13"/>
      <c r="B653" s="13"/>
      <c r="C653" s="13"/>
      <c r="D653" s="15"/>
      <c r="E653" s="13"/>
    </row>
    <row r="654" spans="1:5" ht="14.25" customHeight="1" x14ac:dyDescent="0.3">
      <c r="A654" s="13"/>
      <c r="B654" s="13"/>
      <c r="C654" s="13"/>
      <c r="D654" s="15"/>
      <c r="E654" s="13"/>
    </row>
    <row r="655" spans="1:5" ht="14.25" customHeight="1" x14ac:dyDescent="0.3">
      <c r="A655" s="13"/>
      <c r="B655" s="13"/>
      <c r="C655" s="13"/>
      <c r="D655" s="15"/>
      <c r="E655" s="13"/>
    </row>
    <row r="656" spans="1:5" ht="14.25" customHeight="1" x14ac:dyDescent="0.3">
      <c r="A656" s="13"/>
      <c r="B656" s="13"/>
      <c r="C656" s="13"/>
      <c r="D656" s="15"/>
      <c r="E656" s="13"/>
    </row>
    <row r="657" spans="1:5" ht="14.25" customHeight="1" x14ac:dyDescent="0.3">
      <c r="A657" s="13"/>
      <c r="B657" s="13"/>
      <c r="C657" s="13"/>
      <c r="D657" s="15"/>
      <c r="E657" s="13"/>
    </row>
    <row r="658" spans="1:5" ht="14.25" customHeight="1" x14ac:dyDescent="0.3">
      <c r="A658" s="13"/>
      <c r="B658" s="13"/>
      <c r="C658" s="13"/>
      <c r="D658" s="15"/>
      <c r="E658" s="13"/>
    </row>
    <row r="659" spans="1:5" ht="14.25" customHeight="1" x14ac:dyDescent="0.3">
      <c r="A659" s="13"/>
      <c r="B659" s="13"/>
      <c r="C659" s="13"/>
      <c r="D659" s="15"/>
      <c r="E659" s="13"/>
    </row>
    <row r="660" spans="1:5" ht="14.25" customHeight="1" x14ac:dyDescent="0.3">
      <c r="A660" s="13"/>
      <c r="B660" s="13"/>
      <c r="C660" s="13"/>
      <c r="D660" s="15"/>
      <c r="E660" s="13"/>
    </row>
    <row r="661" spans="1:5" ht="14.25" customHeight="1" x14ac:dyDescent="0.3">
      <c r="A661" s="13"/>
      <c r="B661" s="13"/>
      <c r="C661" s="13"/>
      <c r="D661" s="15"/>
      <c r="E661" s="13"/>
    </row>
    <row r="662" spans="1:5" ht="14.25" customHeight="1" x14ac:dyDescent="0.3">
      <c r="A662" s="13"/>
      <c r="B662" s="13"/>
      <c r="C662" s="13"/>
      <c r="D662" s="15"/>
      <c r="E662" s="13"/>
    </row>
    <row r="663" spans="1:5" ht="14.25" customHeight="1" x14ac:dyDescent="0.3">
      <c r="A663" s="13"/>
      <c r="B663" s="13"/>
      <c r="C663" s="13"/>
      <c r="D663" s="15"/>
      <c r="E663" s="13"/>
    </row>
    <row r="664" spans="1:5" ht="14.25" customHeight="1" x14ac:dyDescent="0.3">
      <c r="A664" s="13"/>
      <c r="B664" s="13"/>
      <c r="C664" s="13"/>
      <c r="D664" s="15"/>
      <c r="E664" s="13"/>
    </row>
    <row r="665" spans="1:5" ht="14.25" customHeight="1" x14ac:dyDescent="0.3">
      <c r="A665" s="13"/>
      <c r="B665" s="13"/>
      <c r="C665" s="13"/>
      <c r="D665" s="15"/>
      <c r="E665" s="13"/>
    </row>
    <row r="666" spans="1:5" ht="14.25" customHeight="1" x14ac:dyDescent="0.3">
      <c r="A666" s="13"/>
      <c r="B666" s="13"/>
      <c r="C666" s="13"/>
      <c r="D666" s="15"/>
      <c r="E666" s="13"/>
    </row>
    <row r="667" spans="1:5" ht="14.25" customHeight="1" x14ac:dyDescent="0.3">
      <c r="A667" s="13"/>
      <c r="B667" s="13"/>
      <c r="C667" s="13"/>
      <c r="D667" s="15"/>
      <c r="E667" s="13"/>
    </row>
    <row r="668" spans="1:5" ht="14.25" customHeight="1" x14ac:dyDescent="0.3">
      <c r="A668" s="13"/>
      <c r="B668" s="13"/>
      <c r="C668" s="13"/>
      <c r="D668" s="15"/>
      <c r="E668" s="13"/>
    </row>
    <row r="669" spans="1:5" ht="14.25" customHeight="1" x14ac:dyDescent="0.3">
      <c r="A669" s="13"/>
      <c r="B669" s="13"/>
      <c r="C669" s="13"/>
      <c r="D669" s="15"/>
      <c r="E669" s="13"/>
    </row>
    <row r="670" spans="1:5" ht="14.25" customHeight="1" x14ac:dyDescent="0.3">
      <c r="A670" s="13"/>
      <c r="B670" s="13"/>
      <c r="C670" s="13"/>
      <c r="D670" s="15"/>
      <c r="E670" s="13"/>
    </row>
    <row r="671" spans="1:5" ht="14.25" customHeight="1" x14ac:dyDescent="0.3">
      <c r="A671" s="13"/>
      <c r="B671" s="13"/>
      <c r="C671" s="13"/>
      <c r="D671" s="15"/>
      <c r="E671" s="13"/>
    </row>
    <row r="672" spans="1:5" ht="14.25" customHeight="1" x14ac:dyDescent="0.3">
      <c r="A672" s="13"/>
      <c r="B672" s="13"/>
      <c r="C672" s="13"/>
      <c r="D672" s="15"/>
      <c r="E672" s="13"/>
    </row>
    <row r="673" spans="1:5" ht="14.25" customHeight="1" x14ac:dyDescent="0.3">
      <c r="A673" s="13"/>
      <c r="B673" s="13"/>
      <c r="C673" s="13"/>
      <c r="D673" s="15"/>
      <c r="E673" s="13"/>
    </row>
    <row r="674" spans="1:5" ht="14.25" customHeight="1" x14ac:dyDescent="0.3">
      <c r="A674" s="13"/>
      <c r="B674" s="13"/>
      <c r="C674" s="13"/>
      <c r="D674" s="15"/>
      <c r="E674" s="13"/>
    </row>
    <row r="675" spans="1:5" ht="14.25" customHeight="1" x14ac:dyDescent="0.3">
      <c r="A675" s="13"/>
      <c r="B675" s="13"/>
      <c r="C675" s="13"/>
      <c r="D675" s="15"/>
      <c r="E675" s="13"/>
    </row>
    <row r="676" spans="1:5" ht="14.25" customHeight="1" x14ac:dyDescent="0.3">
      <c r="A676" s="13"/>
      <c r="B676" s="13"/>
      <c r="C676" s="13"/>
      <c r="D676" s="15"/>
      <c r="E676" s="13"/>
    </row>
    <row r="677" spans="1:5" ht="14.25" customHeight="1" x14ac:dyDescent="0.3">
      <c r="A677" s="13"/>
      <c r="B677" s="13"/>
      <c r="C677" s="13"/>
      <c r="D677" s="15"/>
      <c r="E677" s="13"/>
    </row>
    <row r="678" spans="1:5" ht="14.25" customHeight="1" x14ac:dyDescent="0.3">
      <c r="A678" s="13"/>
      <c r="B678" s="13"/>
      <c r="C678" s="13"/>
      <c r="D678" s="15"/>
      <c r="E678" s="13"/>
    </row>
    <row r="679" spans="1:5" ht="14.25" customHeight="1" x14ac:dyDescent="0.3">
      <c r="A679" s="13"/>
      <c r="B679" s="13"/>
      <c r="C679" s="13"/>
      <c r="D679" s="15"/>
      <c r="E679" s="13"/>
    </row>
    <row r="680" spans="1:5" ht="14.25" customHeight="1" x14ac:dyDescent="0.3">
      <c r="A680" s="13"/>
      <c r="B680" s="13"/>
      <c r="C680" s="13"/>
      <c r="D680" s="15"/>
      <c r="E680" s="13"/>
    </row>
    <row r="681" spans="1:5" ht="14.25" customHeight="1" x14ac:dyDescent="0.3">
      <c r="A681" s="13"/>
      <c r="B681" s="13"/>
      <c r="C681" s="13"/>
      <c r="D681" s="15"/>
      <c r="E681" s="13"/>
    </row>
    <row r="682" spans="1:5" ht="14.25" customHeight="1" x14ac:dyDescent="0.3">
      <c r="A682" s="13"/>
      <c r="B682" s="13"/>
      <c r="C682" s="13"/>
      <c r="D682" s="15"/>
      <c r="E682" s="13"/>
    </row>
    <row r="683" spans="1:5" ht="14.25" customHeight="1" x14ac:dyDescent="0.3">
      <c r="A683" s="13"/>
      <c r="B683" s="13"/>
      <c r="C683" s="13"/>
      <c r="D683" s="15"/>
      <c r="E683" s="13"/>
    </row>
    <row r="684" spans="1:5" ht="14.25" customHeight="1" x14ac:dyDescent="0.3">
      <c r="A684" s="13"/>
      <c r="B684" s="13"/>
      <c r="C684" s="13"/>
      <c r="D684" s="15"/>
      <c r="E684" s="13"/>
    </row>
    <row r="685" spans="1:5" ht="14.25" customHeight="1" x14ac:dyDescent="0.3">
      <c r="A685" s="13"/>
      <c r="B685" s="13"/>
      <c r="C685" s="13"/>
      <c r="D685" s="15"/>
      <c r="E685" s="13"/>
    </row>
    <row r="686" spans="1:5" ht="14.25" customHeight="1" x14ac:dyDescent="0.3">
      <c r="A686" s="13"/>
      <c r="B686" s="13"/>
      <c r="C686" s="13"/>
      <c r="D686" s="15"/>
      <c r="E686" s="13"/>
    </row>
    <row r="687" spans="1:5" ht="14.25" customHeight="1" x14ac:dyDescent="0.3">
      <c r="A687" s="13"/>
      <c r="B687" s="13"/>
      <c r="C687" s="13"/>
      <c r="D687" s="15"/>
      <c r="E687" s="13"/>
    </row>
    <row r="688" spans="1:5" ht="14.25" customHeight="1" x14ac:dyDescent="0.3">
      <c r="A688" s="13"/>
      <c r="B688" s="13"/>
      <c r="C688" s="13"/>
      <c r="D688" s="15"/>
      <c r="E688" s="13"/>
    </row>
    <row r="689" spans="1:5" ht="14.25" customHeight="1" x14ac:dyDescent="0.3">
      <c r="A689" s="13"/>
      <c r="B689" s="13"/>
      <c r="C689" s="13"/>
      <c r="D689" s="15"/>
      <c r="E689" s="13"/>
    </row>
    <row r="690" spans="1:5" ht="14.25" customHeight="1" x14ac:dyDescent="0.3">
      <c r="A690" s="13"/>
      <c r="B690" s="13"/>
      <c r="C690" s="13"/>
      <c r="D690" s="15"/>
      <c r="E690" s="13"/>
    </row>
    <row r="691" spans="1:5" ht="14.25" customHeight="1" x14ac:dyDescent="0.3">
      <c r="A691" s="13"/>
      <c r="B691" s="13"/>
      <c r="C691" s="13"/>
      <c r="D691" s="15"/>
      <c r="E691" s="13"/>
    </row>
    <row r="692" spans="1:5" ht="14.25" customHeight="1" x14ac:dyDescent="0.3">
      <c r="A692" s="13"/>
      <c r="B692" s="13"/>
      <c r="C692" s="13"/>
      <c r="D692" s="15"/>
      <c r="E692" s="13"/>
    </row>
    <row r="693" spans="1:5" ht="14.25" customHeight="1" x14ac:dyDescent="0.3">
      <c r="A693" s="13"/>
      <c r="B693" s="13"/>
      <c r="C693" s="13"/>
      <c r="D693" s="15"/>
      <c r="E693" s="13"/>
    </row>
    <row r="694" spans="1:5" ht="14.25" customHeight="1" x14ac:dyDescent="0.3">
      <c r="A694" s="13"/>
      <c r="B694" s="13"/>
      <c r="C694" s="13"/>
      <c r="D694" s="15"/>
      <c r="E694" s="13"/>
    </row>
    <row r="695" spans="1:5" ht="14.25" customHeight="1" x14ac:dyDescent="0.3">
      <c r="A695" s="13"/>
      <c r="B695" s="13"/>
      <c r="C695" s="13"/>
      <c r="D695" s="15"/>
      <c r="E695" s="13"/>
    </row>
    <row r="696" spans="1:5" ht="14.25" customHeight="1" x14ac:dyDescent="0.3">
      <c r="A696" s="13"/>
      <c r="B696" s="13"/>
      <c r="C696" s="13"/>
      <c r="D696" s="15"/>
      <c r="E696" s="13"/>
    </row>
    <row r="697" spans="1:5" ht="14.25" customHeight="1" x14ac:dyDescent="0.3">
      <c r="A697" s="13"/>
      <c r="B697" s="13"/>
      <c r="C697" s="13"/>
      <c r="D697" s="15"/>
      <c r="E697" s="13"/>
    </row>
    <row r="698" spans="1:5" ht="14.25" customHeight="1" x14ac:dyDescent="0.3">
      <c r="A698" s="13"/>
      <c r="B698" s="13"/>
      <c r="C698" s="13"/>
      <c r="D698" s="15"/>
      <c r="E698" s="13"/>
    </row>
    <row r="699" spans="1:5" ht="14.25" customHeight="1" x14ac:dyDescent="0.3">
      <c r="A699" s="13"/>
      <c r="B699" s="13"/>
      <c r="C699" s="13"/>
      <c r="D699" s="15"/>
      <c r="E699" s="13"/>
    </row>
    <row r="700" spans="1:5" ht="14.25" customHeight="1" x14ac:dyDescent="0.3">
      <c r="A700" s="13"/>
      <c r="B700" s="13"/>
      <c r="C700" s="13"/>
      <c r="D700" s="15"/>
      <c r="E700" s="13"/>
    </row>
    <row r="701" spans="1:5" ht="14.25" customHeight="1" x14ac:dyDescent="0.3">
      <c r="A701" s="13"/>
      <c r="B701" s="13"/>
      <c r="C701" s="13"/>
      <c r="D701" s="15"/>
      <c r="E701" s="13"/>
    </row>
    <row r="702" spans="1:5" ht="14.25" customHeight="1" x14ac:dyDescent="0.3">
      <c r="A702" s="13"/>
      <c r="B702" s="13"/>
      <c r="C702" s="13"/>
      <c r="D702" s="15"/>
      <c r="E702" s="13"/>
    </row>
    <row r="703" spans="1:5" ht="14.25" customHeight="1" x14ac:dyDescent="0.3">
      <c r="A703" s="13"/>
      <c r="B703" s="13"/>
      <c r="C703" s="13"/>
      <c r="D703" s="15"/>
      <c r="E703" s="13"/>
    </row>
    <row r="704" spans="1:5" ht="14.25" customHeight="1" x14ac:dyDescent="0.3">
      <c r="A704" s="13"/>
      <c r="B704" s="13"/>
      <c r="C704" s="13"/>
      <c r="D704" s="15"/>
      <c r="E704" s="13"/>
    </row>
    <row r="705" spans="1:5" ht="14.25" customHeight="1" x14ac:dyDescent="0.3">
      <c r="A705" s="13"/>
      <c r="B705" s="13"/>
      <c r="C705" s="13"/>
      <c r="D705" s="15"/>
      <c r="E705" s="13"/>
    </row>
    <row r="706" spans="1:5" ht="14.25" customHeight="1" x14ac:dyDescent="0.3">
      <c r="A706" s="13"/>
      <c r="B706" s="13"/>
      <c r="C706" s="13"/>
      <c r="D706" s="15"/>
      <c r="E706" s="13"/>
    </row>
    <row r="707" spans="1:5" ht="14.25" customHeight="1" x14ac:dyDescent="0.3">
      <c r="A707" s="13"/>
      <c r="B707" s="13"/>
      <c r="C707" s="13"/>
      <c r="D707" s="15"/>
      <c r="E707" s="13"/>
    </row>
    <row r="708" spans="1:5" ht="14.25" customHeight="1" x14ac:dyDescent="0.3">
      <c r="A708" s="13"/>
      <c r="B708" s="13"/>
      <c r="C708" s="13"/>
      <c r="D708" s="15"/>
      <c r="E708" s="13"/>
    </row>
    <row r="709" spans="1:5" ht="14.25" customHeight="1" x14ac:dyDescent="0.3">
      <c r="A709" s="13"/>
      <c r="B709" s="13"/>
      <c r="C709" s="13"/>
      <c r="D709" s="15"/>
      <c r="E709" s="13"/>
    </row>
    <row r="710" spans="1:5" ht="14.25" customHeight="1" x14ac:dyDescent="0.3">
      <c r="A710" s="13"/>
      <c r="B710" s="13"/>
      <c r="C710" s="13"/>
      <c r="D710" s="15"/>
      <c r="E710" s="13"/>
    </row>
    <row r="711" spans="1:5" ht="14.25" customHeight="1" x14ac:dyDescent="0.3">
      <c r="A711" s="13"/>
      <c r="B711" s="13"/>
      <c r="C711" s="13"/>
      <c r="D711" s="15"/>
      <c r="E711" s="13"/>
    </row>
    <row r="712" spans="1:5" ht="14.25" customHeight="1" x14ac:dyDescent="0.3">
      <c r="A712" s="13"/>
      <c r="B712" s="13"/>
      <c r="C712" s="13"/>
      <c r="D712" s="15"/>
      <c r="E712" s="13"/>
    </row>
    <row r="713" spans="1:5" ht="14.25" customHeight="1" x14ac:dyDescent="0.3">
      <c r="A713" s="13"/>
      <c r="B713" s="13"/>
      <c r="C713" s="13"/>
      <c r="D713" s="15"/>
      <c r="E713" s="13"/>
    </row>
    <row r="714" spans="1:5" ht="14.25" customHeight="1" x14ac:dyDescent="0.3">
      <c r="A714" s="13"/>
      <c r="B714" s="13"/>
      <c r="C714" s="13"/>
      <c r="D714" s="15"/>
      <c r="E714" s="13"/>
    </row>
    <row r="715" spans="1:5" ht="14.25" customHeight="1" x14ac:dyDescent="0.3">
      <c r="A715" s="13"/>
      <c r="B715" s="13"/>
      <c r="C715" s="13"/>
      <c r="D715" s="15"/>
      <c r="E715" s="13"/>
    </row>
    <row r="716" spans="1:5" ht="14.25" customHeight="1" x14ac:dyDescent="0.3">
      <c r="A716" s="13"/>
      <c r="B716" s="13"/>
      <c r="C716" s="13"/>
      <c r="D716" s="15"/>
      <c r="E716" s="13"/>
    </row>
    <row r="717" spans="1:5" ht="14.25" customHeight="1" x14ac:dyDescent="0.3">
      <c r="A717" s="13"/>
      <c r="B717" s="13"/>
      <c r="C717" s="13"/>
      <c r="D717" s="15"/>
      <c r="E717" s="13"/>
    </row>
    <row r="718" spans="1:5" ht="14.25" customHeight="1" x14ac:dyDescent="0.3">
      <c r="A718" s="13"/>
      <c r="B718" s="13"/>
      <c r="C718" s="13"/>
      <c r="D718" s="15"/>
      <c r="E718" s="13"/>
    </row>
    <row r="719" spans="1:5" ht="14.25" customHeight="1" x14ac:dyDescent="0.3">
      <c r="A719" s="13"/>
      <c r="B719" s="13"/>
      <c r="C719" s="13"/>
      <c r="D719" s="15"/>
      <c r="E719" s="13"/>
    </row>
    <row r="720" spans="1:5" ht="14.25" customHeight="1" x14ac:dyDescent="0.3">
      <c r="A720" s="13"/>
      <c r="B720" s="13"/>
      <c r="C720" s="13"/>
      <c r="D720" s="15"/>
      <c r="E720" s="13"/>
    </row>
    <row r="721" spans="1:5" ht="14.25" customHeight="1" x14ac:dyDescent="0.3">
      <c r="A721" s="13"/>
      <c r="B721" s="13"/>
      <c r="C721" s="13"/>
      <c r="D721" s="15"/>
      <c r="E721" s="13"/>
    </row>
    <row r="722" spans="1:5" ht="14.25" customHeight="1" x14ac:dyDescent="0.3">
      <c r="A722" s="13"/>
      <c r="B722" s="13"/>
      <c r="C722" s="13"/>
      <c r="D722" s="15"/>
      <c r="E722" s="13"/>
    </row>
    <row r="723" spans="1:5" ht="14.25" customHeight="1" x14ac:dyDescent="0.3">
      <c r="A723" s="13"/>
      <c r="B723" s="13"/>
      <c r="C723" s="13"/>
      <c r="D723" s="15"/>
      <c r="E723" s="13"/>
    </row>
    <row r="724" spans="1:5" ht="14.25" customHeight="1" x14ac:dyDescent="0.3">
      <c r="A724" s="13"/>
      <c r="B724" s="13"/>
      <c r="C724" s="13"/>
      <c r="D724" s="15"/>
      <c r="E724" s="13"/>
    </row>
    <row r="725" spans="1:5" ht="14.25" customHeight="1" x14ac:dyDescent="0.3">
      <c r="A725" s="13"/>
      <c r="B725" s="13"/>
      <c r="C725" s="13"/>
      <c r="D725" s="15"/>
      <c r="E725" s="13"/>
    </row>
    <row r="726" spans="1:5" ht="14.25" customHeight="1" x14ac:dyDescent="0.3">
      <c r="A726" s="13"/>
      <c r="B726" s="13"/>
      <c r="C726" s="13"/>
      <c r="D726" s="15"/>
      <c r="E726" s="13"/>
    </row>
    <row r="727" spans="1:5" ht="14.25" customHeight="1" x14ac:dyDescent="0.3">
      <c r="A727" s="13"/>
      <c r="B727" s="13"/>
      <c r="C727" s="13"/>
      <c r="D727" s="15"/>
      <c r="E727" s="13"/>
    </row>
    <row r="728" spans="1:5" ht="14.25" customHeight="1" x14ac:dyDescent="0.3">
      <c r="A728" s="13"/>
      <c r="B728" s="13"/>
      <c r="C728" s="13"/>
      <c r="D728" s="15"/>
      <c r="E728" s="13"/>
    </row>
    <row r="729" spans="1:5" ht="14.25" customHeight="1" x14ac:dyDescent="0.3">
      <c r="A729" s="13"/>
      <c r="B729" s="13"/>
      <c r="C729" s="13"/>
      <c r="D729" s="15"/>
      <c r="E729" s="13"/>
    </row>
    <row r="730" spans="1:5" ht="14.25" customHeight="1" x14ac:dyDescent="0.3">
      <c r="A730" s="13"/>
      <c r="B730" s="13"/>
      <c r="C730" s="13"/>
      <c r="D730" s="15"/>
      <c r="E730" s="13"/>
    </row>
    <row r="731" spans="1:5" ht="14.25" customHeight="1" x14ac:dyDescent="0.3">
      <c r="A731" s="13"/>
      <c r="B731" s="13"/>
      <c r="C731" s="13"/>
      <c r="D731" s="15"/>
      <c r="E731" s="13"/>
    </row>
    <row r="732" spans="1:5" ht="14.25" customHeight="1" x14ac:dyDescent="0.3">
      <c r="A732" s="13"/>
      <c r="B732" s="13"/>
      <c r="C732" s="13"/>
      <c r="D732" s="15"/>
      <c r="E732" s="13"/>
    </row>
    <row r="733" spans="1:5" ht="14.25" customHeight="1" x14ac:dyDescent="0.3">
      <c r="A733" s="13"/>
      <c r="B733" s="13"/>
      <c r="C733" s="13"/>
      <c r="D733" s="15"/>
      <c r="E733" s="13"/>
    </row>
    <row r="734" spans="1:5" ht="14.25" customHeight="1" x14ac:dyDescent="0.3">
      <c r="A734" s="13"/>
      <c r="B734" s="13"/>
      <c r="C734" s="13"/>
      <c r="D734" s="15"/>
      <c r="E734" s="13"/>
    </row>
    <row r="735" spans="1:5" ht="14.25" customHeight="1" x14ac:dyDescent="0.3">
      <c r="A735" s="13"/>
      <c r="B735" s="13"/>
      <c r="C735" s="13"/>
      <c r="D735" s="15"/>
      <c r="E735" s="13"/>
    </row>
    <row r="736" spans="1:5" ht="14.25" customHeight="1" x14ac:dyDescent="0.3">
      <c r="A736" s="13"/>
      <c r="B736" s="13"/>
      <c r="C736" s="13"/>
      <c r="D736" s="15"/>
      <c r="E736" s="13"/>
    </row>
    <row r="737" spans="1:5" ht="14.25" customHeight="1" x14ac:dyDescent="0.3">
      <c r="A737" s="13"/>
      <c r="B737" s="13"/>
      <c r="C737" s="13"/>
      <c r="D737" s="15"/>
      <c r="E737" s="13"/>
    </row>
    <row r="738" spans="1:5" ht="14.25" customHeight="1" x14ac:dyDescent="0.3">
      <c r="A738" s="13"/>
      <c r="B738" s="13"/>
      <c r="C738" s="13"/>
      <c r="D738" s="15"/>
      <c r="E738" s="13"/>
    </row>
    <row r="739" spans="1:5" ht="14.25" customHeight="1" x14ac:dyDescent="0.3">
      <c r="A739" s="13"/>
      <c r="B739" s="13"/>
      <c r="C739" s="13"/>
      <c r="D739" s="15"/>
      <c r="E739" s="13"/>
    </row>
    <row r="740" spans="1:5" ht="14.25" customHeight="1" x14ac:dyDescent="0.3">
      <c r="A740" s="13"/>
      <c r="B740" s="13"/>
      <c r="C740" s="13"/>
      <c r="D740" s="15"/>
      <c r="E740" s="13"/>
    </row>
    <row r="741" spans="1:5" ht="14.25" customHeight="1" x14ac:dyDescent="0.3">
      <c r="A741" s="13"/>
      <c r="B741" s="13"/>
      <c r="C741" s="13"/>
      <c r="D741" s="15"/>
      <c r="E741" s="13"/>
    </row>
    <row r="742" spans="1:5" ht="14.25" customHeight="1" x14ac:dyDescent="0.3">
      <c r="A742" s="13"/>
      <c r="B742" s="13"/>
      <c r="C742" s="13"/>
      <c r="D742" s="15"/>
      <c r="E742" s="13"/>
    </row>
    <row r="743" spans="1:5" ht="14.25" customHeight="1" x14ac:dyDescent="0.3">
      <c r="A743" s="13"/>
      <c r="B743" s="13"/>
      <c r="C743" s="13"/>
      <c r="D743" s="15"/>
      <c r="E743" s="13"/>
    </row>
    <row r="744" spans="1:5" ht="14.25" customHeight="1" x14ac:dyDescent="0.3">
      <c r="A744" s="13"/>
      <c r="B744" s="13"/>
      <c r="C744" s="13"/>
      <c r="D744" s="15"/>
      <c r="E744" s="13"/>
    </row>
    <row r="745" spans="1:5" ht="14.25" customHeight="1" x14ac:dyDescent="0.3">
      <c r="A745" s="13"/>
      <c r="B745" s="13"/>
      <c r="C745" s="13"/>
      <c r="D745" s="15"/>
      <c r="E745" s="13"/>
    </row>
    <row r="746" spans="1:5" ht="14.25" customHeight="1" x14ac:dyDescent="0.3">
      <c r="A746" s="13"/>
      <c r="B746" s="13"/>
      <c r="C746" s="13"/>
      <c r="D746" s="15"/>
      <c r="E746" s="13"/>
    </row>
    <row r="747" spans="1:5" ht="14.25" customHeight="1" x14ac:dyDescent="0.3">
      <c r="A747" s="13"/>
      <c r="B747" s="13"/>
      <c r="C747" s="13"/>
      <c r="D747" s="15"/>
      <c r="E747" s="13"/>
    </row>
    <row r="748" spans="1:5" ht="14.25" customHeight="1" x14ac:dyDescent="0.3">
      <c r="A748" s="13"/>
      <c r="B748" s="13"/>
      <c r="C748" s="13"/>
      <c r="D748" s="15"/>
      <c r="E748" s="13"/>
    </row>
    <row r="749" spans="1:5" ht="14.25" customHeight="1" x14ac:dyDescent="0.3">
      <c r="A749" s="13"/>
      <c r="B749" s="13"/>
      <c r="C749" s="13"/>
      <c r="D749" s="15"/>
      <c r="E749" s="13"/>
    </row>
    <row r="750" spans="1:5" ht="14.25" customHeight="1" x14ac:dyDescent="0.3">
      <c r="A750" s="13"/>
      <c r="B750" s="13"/>
      <c r="C750" s="13"/>
      <c r="D750" s="15"/>
      <c r="E750" s="13"/>
    </row>
    <row r="751" spans="1:5" ht="14.25" customHeight="1" x14ac:dyDescent="0.3">
      <c r="A751" s="13"/>
      <c r="B751" s="13"/>
      <c r="C751" s="13"/>
      <c r="D751" s="15"/>
      <c r="E751" s="13"/>
    </row>
    <row r="752" spans="1:5" ht="14.25" customHeight="1" x14ac:dyDescent="0.3">
      <c r="A752" s="13"/>
      <c r="B752" s="13"/>
      <c r="C752" s="13"/>
      <c r="D752" s="15"/>
      <c r="E752" s="13"/>
    </row>
    <row r="753" spans="1:5" ht="14.25" customHeight="1" x14ac:dyDescent="0.3">
      <c r="A753" s="13"/>
      <c r="B753" s="13"/>
      <c r="C753" s="13"/>
      <c r="D753" s="15"/>
      <c r="E753" s="13"/>
    </row>
    <row r="754" spans="1:5" ht="14.25" customHeight="1" x14ac:dyDescent="0.3">
      <c r="A754" s="13"/>
      <c r="B754" s="13"/>
      <c r="C754" s="13"/>
      <c r="D754" s="15"/>
      <c r="E754" s="13"/>
    </row>
    <row r="755" spans="1:5" ht="14.25" customHeight="1" x14ac:dyDescent="0.3">
      <c r="A755" s="13"/>
      <c r="B755" s="13"/>
      <c r="C755" s="13"/>
      <c r="D755" s="15"/>
      <c r="E755" s="13"/>
    </row>
    <row r="756" spans="1:5" ht="14.25" customHeight="1" x14ac:dyDescent="0.3">
      <c r="A756" s="13"/>
      <c r="B756" s="13"/>
      <c r="C756" s="13"/>
      <c r="D756" s="15"/>
      <c r="E756" s="13"/>
    </row>
    <row r="757" spans="1:5" ht="14.25" customHeight="1" x14ac:dyDescent="0.3">
      <c r="A757" s="13"/>
      <c r="B757" s="13"/>
      <c r="C757" s="13"/>
      <c r="D757" s="15"/>
      <c r="E757" s="13"/>
    </row>
    <row r="758" spans="1:5" ht="14.25" customHeight="1" x14ac:dyDescent="0.3">
      <c r="A758" s="13"/>
      <c r="B758" s="13"/>
      <c r="C758" s="13"/>
      <c r="D758" s="15"/>
      <c r="E758" s="13"/>
    </row>
    <row r="759" spans="1:5" ht="14.25" customHeight="1" x14ac:dyDescent="0.3">
      <c r="A759" s="13"/>
      <c r="B759" s="13"/>
      <c r="C759" s="13"/>
      <c r="D759" s="15"/>
      <c r="E759" s="13"/>
    </row>
    <row r="760" spans="1:5" ht="14.25" customHeight="1" x14ac:dyDescent="0.3">
      <c r="A760" s="13"/>
      <c r="B760" s="13"/>
      <c r="C760" s="13"/>
      <c r="D760" s="15"/>
      <c r="E760" s="13"/>
    </row>
    <row r="761" spans="1:5" ht="14.25" customHeight="1" x14ac:dyDescent="0.3">
      <c r="A761" s="13"/>
      <c r="B761" s="13"/>
      <c r="C761" s="13"/>
      <c r="D761" s="15"/>
      <c r="E761" s="13"/>
    </row>
    <row r="762" spans="1:5" ht="14.25" customHeight="1" x14ac:dyDescent="0.3">
      <c r="A762" s="13"/>
      <c r="B762" s="13"/>
      <c r="C762" s="13"/>
      <c r="D762" s="15"/>
      <c r="E762" s="13"/>
    </row>
    <row r="763" spans="1:5" ht="14.25" customHeight="1" x14ac:dyDescent="0.3">
      <c r="A763" s="13"/>
      <c r="B763" s="13"/>
      <c r="C763" s="13"/>
      <c r="D763" s="15"/>
      <c r="E763" s="13"/>
    </row>
    <row r="764" spans="1:5" ht="14.25" customHeight="1" x14ac:dyDescent="0.3">
      <c r="A764" s="13"/>
      <c r="B764" s="13"/>
      <c r="C764" s="13"/>
      <c r="D764" s="15"/>
      <c r="E764" s="13"/>
    </row>
    <row r="765" spans="1:5" ht="14.25" customHeight="1" x14ac:dyDescent="0.3">
      <c r="A765" s="13"/>
      <c r="B765" s="13"/>
      <c r="C765" s="13"/>
      <c r="D765" s="15"/>
      <c r="E765" s="13"/>
    </row>
    <row r="766" spans="1:5" ht="14.25" customHeight="1" x14ac:dyDescent="0.3">
      <c r="A766" s="13"/>
      <c r="B766" s="13"/>
      <c r="C766" s="13"/>
      <c r="D766" s="15"/>
      <c r="E766" s="13"/>
    </row>
    <row r="767" spans="1:5" ht="14.25" customHeight="1" x14ac:dyDescent="0.3">
      <c r="A767" s="13"/>
      <c r="B767" s="13"/>
      <c r="C767" s="13"/>
      <c r="D767" s="15"/>
      <c r="E767" s="13"/>
    </row>
    <row r="768" spans="1:5" ht="14.25" customHeight="1" x14ac:dyDescent="0.3">
      <c r="A768" s="13"/>
      <c r="B768" s="13"/>
      <c r="C768" s="13"/>
      <c r="D768" s="15"/>
      <c r="E768" s="13"/>
    </row>
    <row r="769" spans="1:5" ht="14.25" customHeight="1" x14ac:dyDescent="0.3">
      <c r="A769" s="13"/>
      <c r="B769" s="13"/>
      <c r="C769" s="13"/>
      <c r="D769" s="15"/>
      <c r="E769" s="13"/>
    </row>
    <row r="770" spans="1:5" ht="14.25" customHeight="1" x14ac:dyDescent="0.3">
      <c r="A770" s="13"/>
      <c r="B770" s="13"/>
      <c r="C770" s="13"/>
      <c r="D770" s="15"/>
      <c r="E770" s="13"/>
    </row>
    <row r="771" spans="1:5" ht="14.25" customHeight="1" x14ac:dyDescent="0.3">
      <c r="A771" s="13"/>
      <c r="B771" s="13"/>
      <c r="C771" s="13"/>
      <c r="D771" s="15"/>
      <c r="E771" s="13"/>
    </row>
    <row r="772" spans="1:5" ht="14.25" customHeight="1" x14ac:dyDescent="0.3">
      <c r="A772" s="13"/>
      <c r="B772" s="13"/>
      <c r="C772" s="13"/>
      <c r="D772" s="15"/>
      <c r="E772" s="13"/>
    </row>
    <row r="773" spans="1:5" ht="14.25" customHeight="1" x14ac:dyDescent="0.3">
      <c r="A773" s="13"/>
      <c r="B773" s="13"/>
      <c r="C773" s="13"/>
      <c r="D773" s="15"/>
      <c r="E773" s="13"/>
    </row>
    <row r="774" spans="1:5" ht="14.25" customHeight="1" x14ac:dyDescent="0.3">
      <c r="A774" s="13"/>
      <c r="B774" s="13"/>
      <c r="C774" s="13"/>
      <c r="D774" s="15"/>
      <c r="E774" s="13"/>
    </row>
    <row r="775" spans="1:5" ht="14.25" customHeight="1" x14ac:dyDescent="0.3">
      <c r="A775" s="13"/>
      <c r="B775" s="13"/>
      <c r="C775" s="13"/>
      <c r="D775" s="15"/>
      <c r="E775" s="13"/>
    </row>
    <row r="776" spans="1:5" ht="14.25" customHeight="1" x14ac:dyDescent="0.3">
      <c r="A776" s="13"/>
      <c r="B776" s="13"/>
      <c r="C776" s="13"/>
      <c r="D776" s="15"/>
      <c r="E776" s="13"/>
    </row>
    <row r="777" spans="1:5" ht="14.25" customHeight="1" x14ac:dyDescent="0.3">
      <c r="A777" s="13"/>
      <c r="B777" s="13"/>
      <c r="C777" s="13"/>
      <c r="D777" s="15"/>
      <c r="E777" s="13"/>
    </row>
    <row r="778" spans="1:5" ht="14.25" customHeight="1" x14ac:dyDescent="0.3">
      <c r="A778" s="13"/>
      <c r="B778" s="13"/>
      <c r="C778" s="13"/>
      <c r="D778" s="15"/>
      <c r="E778" s="13"/>
    </row>
    <row r="779" spans="1:5" ht="14.25" customHeight="1" x14ac:dyDescent="0.3">
      <c r="A779" s="13"/>
      <c r="B779" s="13"/>
      <c r="C779" s="13"/>
      <c r="D779" s="15"/>
      <c r="E779" s="13"/>
    </row>
    <row r="780" spans="1:5" ht="14.25" customHeight="1" x14ac:dyDescent="0.3">
      <c r="A780" s="13"/>
      <c r="B780" s="13"/>
      <c r="C780" s="13"/>
      <c r="D780" s="15"/>
      <c r="E780" s="13"/>
    </row>
    <row r="781" spans="1:5" ht="14.25" customHeight="1" x14ac:dyDescent="0.3">
      <c r="A781" s="13"/>
      <c r="B781" s="13"/>
      <c r="C781" s="13"/>
      <c r="D781" s="15"/>
      <c r="E781" s="13"/>
    </row>
    <row r="782" spans="1:5" ht="14.25" customHeight="1" x14ac:dyDescent="0.3">
      <c r="A782" s="13"/>
      <c r="B782" s="13"/>
      <c r="C782" s="13"/>
      <c r="D782" s="15"/>
      <c r="E782" s="13"/>
    </row>
    <row r="783" spans="1:5" ht="14.25" customHeight="1" x14ac:dyDescent="0.3">
      <c r="A783" s="13"/>
      <c r="B783" s="13"/>
      <c r="C783" s="13"/>
      <c r="D783" s="15"/>
      <c r="E783" s="13"/>
    </row>
    <row r="784" spans="1:5" ht="14.25" customHeight="1" x14ac:dyDescent="0.3">
      <c r="A784" s="13"/>
      <c r="B784" s="13"/>
      <c r="C784" s="13"/>
      <c r="D784" s="15"/>
      <c r="E784" s="13"/>
    </row>
    <row r="785" spans="1:5" ht="14.25" customHeight="1" x14ac:dyDescent="0.3">
      <c r="A785" s="13"/>
      <c r="B785" s="13"/>
      <c r="C785" s="13"/>
      <c r="D785" s="15"/>
      <c r="E785" s="13"/>
    </row>
    <row r="786" spans="1:5" ht="14.25" customHeight="1" x14ac:dyDescent="0.3">
      <c r="A786" s="13"/>
      <c r="B786" s="13"/>
      <c r="C786" s="13"/>
      <c r="D786" s="15"/>
      <c r="E786" s="13"/>
    </row>
    <row r="787" spans="1:5" ht="14.25" customHeight="1" x14ac:dyDescent="0.3">
      <c r="A787" s="13"/>
      <c r="B787" s="13"/>
      <c r="C787" s="13"/>
      <c r="D787" s="15"/>
      <c r="E787" s="13"/>
    </row>
    <row r="788" spans="1:5" ht="14.25" customHeight="1" x14ac:dyDescent="0.3">
      <c r="A788" s="13"/>
      <c r="B788" s="13"/>
      <c r="C788" s="13"/>
      <c r="D788" s="15"/>
      <c r="E788" s="13"/>
    </row>
    <row r="789" spans="1:5" ht="14.25" customHeight="1" x14ac:dyDescent="0.3">
      <c r="A789" s="13"/>
      <c r="B789" s="13"/>
      <c r="C789" s="13"/>
      <c r="D789" s="15"/>
      <c r="E789" s="13"/>
    </row>
    <row r="790" spans="1:5" ht="14.25" customHeight="1" x14ac:dyDescent="0.3">
      <c r="A790" s="13"/>
      <c r="B790" s="13"/>
      <c r="C790" s="13"/>
      <c r="D790" s="15"/>
      <c r="E790" s="13"/>
    </row>
    <row r="791" spans="1:5" ht="14.25" customHeight="1" x14ac:dyDescent="0.3">
      <c r="A791" s="13"/>
      <c r="B791" s="13"/>
      <c r="C791" s="13"/>
      <c r="D791" s="15"/>
      <c r="E791" s="13"/>
    </row>
    <row r="792" spans="1:5" ht="14.25" customHeight="1" x14ac:dyDescent="0.3">
      <c r="A792" s="13"/>
      <c r="B792" s="13"/>
      <c r="C792" s="13"/>
      <c r="D792" s="15"/>
      <c r="E792" s="13"/>
    </row>
    <row r="793" spans="1:5" ht="14.25" customHeight="1" x14ac:dyDescent="0.3">
      <c r="A793" s="13"/>
      <c r="B793" s="13"/>
      <c r="C793" s="13"/>
      <c r="D793" s="15"/>
      <c r="E793" s="13"/>
    </row>
    <row r="794" spans="1:5" ht="14.25" customHeight="1" x14ac:dyDescent="0.3">
      <c r="A794" s="13"/>
      <c r="B794" s="13"/>
      <c r="C794" s="13"/>
      <c r="D794" s="15"/>
      <c r="E794" s="13"/>
    </row>
    <row r="795" spans="1:5" ht="14.25" customHeight="1" x14ac:dyDescent="0.3">
      <c r="A795" s="13"/>
      <c r="B795" s="13"/>
      <c r="C795" s="13"/>
      <c r="D795" s="15"/>
      <c r="E795" s="13"/>
    </row>
    <row r="796" spans="1:5" ht="14.25" customHeight="1" x14ac:dyDescent="0.3">
      <c r="A796" s="13"/>
      <c r="B796" s="13"/>
      <c r="C796" s="13"/>
      <c r="D796" s="15"/>
      <c r="E796" s="13"/>
    </row>
    <row r="797" spans="1:5" ht="14.25" customHeight="1" x14ac:dyDescent="0.3">
      <c r="A797" s="13"/>
      <c r="B797" s="13"/>
      <c r="C797" s="13"/>
      <c r="D797" s="15"/>
      <c r="E797" s="13"/>
    </row>
    <row r="798" spans="1:5" ht="14.25" customHeight="1" x14ac:dyDescent="0.3">
      <c r="A798" s="13"/>
      <c r="B798" s="13"/>
      <c r="C798" s="13"/>
      <c r="D798" s="15"/>
      <c r="E798" s="13"/>
    </row>
    <row r="799" spans="1:5" ht="14.25" customHeight="1" x14ac:dyDescent="0.3">
      <c r="A799" s="13"/>
      <c r="B799" s="13"/>
      <c r="C799" s="13"/>
      <c r="D799" s="15"/>
      <c r="E799" s="13"/>
    </row>
    <row r="800" spans="1:5" ht="14.25" customHeight="1" x14ac:dyDescent="0.3">
      <c r="A800" s="13"/>
      <c r="B800" s="13"/>
      <c r="C800" s="13"/>
      <c r="D800" s="15"/>
      <c r="E800" s="13"/>
    </row>
    <row r="801" spans="1:5" ht="14.25" customHeight="1" x14ac:dyDescent="0.3">
      <c r="A801" s="13"/>
      <c r="B801" s="13"/>
      <c r="C801" s="13"/>
      <c r="D801" s="15"/>
      <c r="E801" s="13"/>
    </row>
    <row r="802" spans="1:5" ht="14.25" customHeight="1" x14ac:dyDescent="0.3">
      <c r="A802" s="13"/>
      <c r="B802" s="13"/>
      <c r="C802" s="13"/>
      <c r="D802" s="15"/>
      <c r="E802" s="13"/>
    </row>
    <row r="803" spans="1:5" ht="14.25" customHeight="1" x14ac:dyDescent="0.3">
      <c r="A803" s="13"/>
      <c r="B803" s="13"/>
      <c r="C803" s="13"/>
      <c r="D803" s="15"/>
      <c r="E803" s="13"/>
    </row>
    <row r="804" spans="1:5" ht="14.25" customHeight="1" x14ac:dyDescent="0.3">
      <c r="A804" s="13"/>
      <c r="B804" s="13"/>
      <c r="C804" s="13"/>
      <c r="D804" s="15"/>
      <c r="E804" s="13"/>
    </row>
    <row r="805" spans="1:5" ht="14.25" customHeight="1" x14ac:dyDescent="0.3">
      <c r="A805" s="13"/>
      <c r="B805" s="13"/>
      <c r="C805" s="13"/>
      <c r="D805" s="15"/>
      <c r="E805" s="13"/>
    </row>
    <row r="806" spans="1:5" ht="14.25" customHeight="1" x14ac:dyDescent="0.3">
      <c r="A806" s="13"/>
      <c r="B806" s="13"/>
      <c r="C806" s="13"/>
      <c r="D806" s="15"/>
      <c r="E806" s="13"/>
    </row>
    <row r="807" spans="1:5" ht="14.25" customHeight="1" x14ac:dyDescent="0.3">
      <c r="A807" s="13"/>
      <c r="B807" s="13"/>
      <c r="C807" s="13"/>
      <c r="D807" s="15"/>
      <c r="E807" s="13"/>
    </row>
    <row r="808" spans="1:5" ht="14.25" customHeight="1" x14ac:dyDescent="0.3">
      <c r="A808" s="13"/>
      <c r="B808" s="13"/>
      <c r="C808" s="13"/>
      <c r="D808" s="15"/>
      <c r="E808" s="13"/>
    </row>
    <row r="809" spans="1:5" ht="14.25" customHeight="1" x14ac:dyDescent="0.3">
      <c r="A809" s="13"/>
      <c r="B809" s="13"/>
      <c r="C809" s="13"/>
      <c r="D809" s="15"/>
      <c r="E809" s="13"/>
    </row>
    <row r="810" spans="1:5" ht="14.25" customHeight="1" x14ac:dyDescent="0.3">
      <c r="A810" s="13"/>
      <c r="B810" s="13"/>
      <c r="C810" s="13"/>
      <c r="D810" s="15"/>
      <c r="E810" s="13"/>
    </row>
    <row r="811" spans="1:5" ht="14.25" customHeight="1" x14ac:dyDescent="0.3">
      <c r="A811" s="13"/>
      <c r="B811" s="13"/>
      <c r="C811" s="13"/>
      <c r="D811" s="15"/>
      <c r="E811" s="13"/>
    </row>
    <row r="812" spans="1:5" ht="14.25" customHeight="1" x14ac:dyDescent="0.3">
      <c r="A812" s="13"/>
      <c r="B812" s="13"/>
      <c r="C812" s="13"/>
      <c r="D812" s="15"/>
      <c r="E812" s="13"/>
    </row>
    <row r="813" spans="1:5" ht="14.25" customHeight="1" x14ac:dyDescent="0.3">
      <c r="A813" s="13"/>
      <c r="B813" s="13"/>
      <c r="C813" s="13"/>
      <c r="D813" s="15"/>
      <c r="E813" s="13"/>
    </row>
    <row r="814" spans="1:5" ht="14.25" customHeight="1" x14ac:dyDescent="0.3">
      <c r="A814" s="13"/>
      <c r="B814" s="13"/>
      <c r="C814" s="13"/>
      <c r="D814" s="15"/>
      <c r="E814" s="13"/>
    </row>
    <row r="815" spans="1:5" ht="14.25" customHeight="1" x14ac:dyDescent="0.3">
      <c r="A815" s="13"/>
      <c r="B815" s="13"/>
      <c r="C815" s="13"/>
      <c r="D815" s="15"/>
      <c r="E815" s="13"/>
    </row>
    <row r="816" spans="1:5" ht="14.25" customHeight="1" x14ac:dyDescent="0.3">
      <c r="A816" s="13"/>
      <c r="B816" s="13"/>
      <c r="C816" s="13"/>
      <c r="D816" s="15"/>
      <c r="E816" s="13"/>
    </row>
    <row r="817" spans="1:5" ht="14.25" customHeight="1" x14ac:dyDescent="0.3">
      <c r="A817" s="13"/>
      <c r="B817" s="13"/>
      <c r="C817" s="13"/>
      <c r="D817" s="15"/>
      <c r="E817" s="13"/>
    </row>
    <row r="818" spans="1:5" ht="14.25" customHeight="1" x14ac:dyDescent="0.3">
      <c r="A818" s="13"/>
      <c r="B818" s="13"/>
      <c r="C818" s="13"/>
      <c r="D818" s="15"/>
      <c r="E818" s="13"/>
    </row>
    <row r="819" spans="1:5" ht="14.25" customHeight="1" x14ac:dyDescent="0.3">
      <c r="A819" s="13"/>
      <c r="B819" s="13"/>
      <c r="C819" s="13"/>
      <c r="D819" s="15"/>
      <c r="E819" s="13"/>
    </row>
    <row r="820" spans="1:5" ht="14.25" customHeight="1" x14ac:dyDescent="0.3">
      <c r="A820" s="13"/>
      <c r="B820" s="13"/>
      <c r="C820" s="13"/>
      <c r="D820" s="15"/>
      <c r="E820" s="13"/>
    </row>
    <row r="821" spans="1:5" ht="14.25" customHeight="1" x14ac:dyDescent="0.3">
      <c r="A821" s="13"/>
      <c r="B821" s="13"/>
      <c r="C821" s="13"/>
      <c r="D821" s="15"/>
      <c r="E821" s="13"/>
    </row>
    <row r="822" spans="1:5" ht="14.25" customHeight="1" x14ac:dyDescent="0.3">
      <c r="A822" s="13"/>
      <c r="B822" s="13"/>
      <c r="C822" s="13"/>
      <c r="D822" s="15"/>
      <c r="E822" s="13"/>
    </row>
    <row r="823" spans="1:5" ht="14.25" customHeight="1" x14ac:dyDescent="0.3">
      <c r="A823" s="13"/>
      <c r="B823" s="13"/>
      <c r="C823" s="13"/>
      <c r="D823" s="15"/>
      <c r="E823" s="13"/>
    </row>
    <row r="824" spans="1:5" ht="14.25" customHeight="1" x14ac:dyDescent="0.3">
      <c r="A824" s="13"/>
      <c r="B824" s="13"/>
      <c r="C824" s="13"/>
      <c r="D824" s="15"/>
      <c r="E824" s="13"/>
    </row>
    <row r="825" spans="1:5" ht="14.25" customHeight="1" x14ac:dyDescent="0.3">
      <c r="A825" s="13"/>
      <c r="B825" s="13"/>
      <c r="C825" s="13"/>
      <c r="D825" s="15"/>
      <c r="E825" s="13"/>
    </row>
    <row r="826" spans="1:5" ht="14.25" customHeight="1" x14ac:dyDescent="0.3">
      <c r="A826" s="13"/>
      <c r="B826" s="13"/>
      <c r="C826" s="13"/>
      <c r="D826" s="15"/>
      <c r="E826" s="13"/>
    </row>
    <row r="827" spans="1:5" ht="14.25" customHeight="1" x14ac:dyDescent="0.3">
      <c r="A827" s="13"/>
      <c r="B827" s="13"/>
      <c r="C827" s="13"/>
      <c r="D827" s="15"/>
      <c r="E827" s="13"/>
    </row>
    <row r="828" spans="1:5" ht="14.25" customHeight="1" x14ac:dyDescent="0.3">
      <c r="A828" s="13"/>
      <c r="B828" s="13"/>
      <c r="C828" s="13"/>
      <c r="D828" s="15"/>
      <c r="E828" s="13"/>
    </row>
    <row r="829" spans="1:5" ht="14.25" customHeight="1" x14ac:dyDescent="0.3">
      <c r="A829" s="13"/>
      <c r="B829" s="13"/>
      <c r="C829" s="13"/>
      <c r="D829" s="15"/>
      <c r="E829" s="13"/>
    </row>
    <row r="830" spans="1:5" ht="14.25" customHeight="1" x14ac:dyDescent="0.3">
      <c r="A830" s="13"/>
      <c r="B830" s="13"/>
      <c r="C830" s="13"/>
      <c r="D830" s="15"/>
      <c r="E830" s="13"/>
    </row>
    <row r="831" spans="1:5" ht="14.25" customHeight="1" x14ac:dyDescent="0.3">
      <c r="A831" s="13"/>
      <c r="B831" s="13"/>
      <c r="C831" s="13"/>
      <c r="D831" s="15"/>
      <c r="E831" s="13"/>
    </row>
    <row r="832" spans="1:5" ht="14.25" customHeight="1" x14ac:dyDescent="0.3">
      <c r="A832" s="13"/>
      <c r="B832" s="13"/>
      <c r="C832" s="13"/>
      <c r="D832" s="15"/>
      <c r="E832" s="13"/>
    </row>
    <row r="833" spans="1:5" ht="14.25" customHeight="1" x14ac:dyDescent="0.3">
      <c r="A833" s="13"/>
      <c r="B833" s="13"/>
      <c r="C833" s="13"/>
      <c r="D833" s="15"/>
      <c r="E833" s="13"/>
    </row>
    <row r="834" spans="1:5" ht="14.25" customHeight="1" x14ac:dyDescent="0.3">
      <c r="A834" s="13"/>
      <c r="B834" s="13"/>
      <c r="C834" s="13"/>
      <c r="D834" s="15"/>
      <c r="E834" s="13"/>
    </row>
    <row r="835" spans="1:5" ht="14.25" customHeight="1" x14ac:dyDescent="0.3">
      <c r="A835" s="13"/>
      <c r="B835" s="13"/>
      <c r="C835" s="13"/>
      <c r="D835" s="15"/>
      <c r="E835" s="13"/>
    </row>
    <row r="836" spans="1:5" ht="14.25" customHeight="1" x14ac:dyDescent="0.3">
      <c r="A836" s="13"/>
      <c r="B836" s="13"/>
      <c r="C836" s="13"/>
      <c r="D836" s="15"/>
      <c r="E836" s="13"/>
    </row>
    <row r="837" spans="1:5" ht="14.25" customHeight="1" x14ac:dyDescent="0.3">
      <c r="A837" s="13"/>
      <c r="B837" s="13"/>
      <c r="C837" s="13"/>
      <c r="D837" s="15"/>
      <c r="E837" s="13"/>
    </row>
    <row r="838" spans="1:5" ht="14.25" customHeight="1" x14ac:dyDescent="0.3">
      <c r="A838" s="13"/>
      <c r="B838" s="13"/>
      <c r="C838" s="13"/>
      <c r="D838" s="15"/>
      <c r="E838" s="13"/>
    </row>
    <row r="839" spans="1:5" ht="14.25" customHeight="1" x14ac:dyDescent="0.3">
      <c r="A839" s="13"/>
      <c r="B839" s="13"/>
      <c r="C839" s="13"/>
      <c r="D839" s="15"/>
      <c r="E839" s="13"/>
    </row>
    <row r="840" spans="1:5" ht="14.25" customHeight="1" x14ac:dyDescent="0.3">
      <c r="A840" s="13"/>
      <c r="B840" s="13"/>
      <c r="C840" s="13"/>
      <c r="D840" s="15"/>
      <c r="E840" s="13"/>
    </row>
    <row r="841" spans="1:5" ht="14.25" customHeight="1" x14ac:dyDescent="0.3">
      <c r="A841" s="13"/>
      <c r="B841" s="13"/>
      <c r="C841" s="13"/>
      <c r="D841" s="15"/>
      <c r="E841" s="13"/>
    </row>
    <row r="842" spans="1:5" ht="14.25" customHeight="1" x14ac:dyDescent="0.3">
      <c r="A842" s="13"/>
      <c r="B842" s="13"/>
      <c r="C842" s="13"/>
      <c r="D842" s="15"/>
      <c r="E842" s="13"/>
    </row>
    <row r="843" spans="1:5" ht="14.25" customHeight="1" x14ac:dyDescent="0.3">
      <c r="A843" s="13"/>
      <c r="B843" s="13"/>
      <c r="C843" s="13"/>
      <c r="D843" s="15"/>
      <c r="E843" s="13"/>
    </row>
    <row r="844" spans="1:5" ht="14.25" customHeight="1" x14ac:dyDescent="0.3">
      <c r="A844" s="13"/>
      <c r="B844" s="13"/>
      <c r="C844" s="13"/>
      <c r="D844" s="15"/>
      <c r="E844" s="13"/>
    </row>
    <row r="845" spans="1:5" ht="14.25" customHeight="1" x14ac:dyDescent="0.3">
      <c r="A845" s="13"/>
      <c r="B845" s="13"/>
      <c r="C845" s="13"/>
      <c r="D845" s="15"/>
      <c r="E845" s="13"/>
    </row>
    <row r="846" spans="1:5" ht="14.25" customHeight="1" x14ac:dyDescent="0.3">
      <c r="A846" s="13"/>
      <c r="B846" s="13"/>
      <c r="C846" s="13"/>
      <c r="D846" s="15"/>
      <c r="E846" s="13"/>
    </row>
    <row r="847" spans="1:5" ht="14.25" customHeight="1" x14ac:dyDescent="0.3">
      <c r="A847" s="13"/>
      <c r="B847" s="13"/>
      <c r="C847" s="13"/>
      <c r="D847" s="15"/>
      <c r="E847" s="13"/>
    </row>
    <row r="848" spans="1:5" ht="14.25" customHeight="1" x14ac:dyDescent="0.3">
      <c r="A848" s="13"/>
      <c r="B848" s="13"/>
      <c r="C848" s="13"/>
      <c r="D848" s="15"/>
      <c r="E848" s="13"/>
    </row>
    <row r="849" spans="1:5" ht="14.25" customHeight="1" x14ac:dyDescent="0.3">
      <c r="A849" s="13"/>
      <c r="B849" s="13"/>
      <c r="C849" s="13"/>
      <c r="D849" s="15"/>
      <c r="E849" s="13"/>
    </row>
    <row r="850" spans="1:5" ht="14.25" customHeight="1" x14ac:dyDescent="0.3">
      <c r="A850" s="13"/>
      <c r="B850" s="13"/>
      <c r="C850" s="13"/>
      <c r="D850" s="15"/>
      <c r="E850" s="13"/>
    </row>
    <row r="851" spans="1:5" ht="14.25" customHeight="1" x14ac:dyDescent="0.3">
      <c r="A851" s="13"/>
      <c r="B851" s="13"/>
      <c r="C851" s="13"/>
      <c r="D851" s="15"/>
      <c r="E851" s="13"/>
    </row>
    <row r="852" spans="1:5" ht="14.25" customHeight="1" x14ac:dyDescent="0.3">
      <c r="A852" s="13"/>
      <c r="B852" s="13"/>
      <c r="C852" s="13"/>
      <c r="D852" s="15"/>
      <c r="E852" s="13"/>
    </row>
    <row r="853" spans="1:5" ht="14.25" customHeight="1" x14ac:dyDescent="0.3">
      <c r="A853" s="13"/>
      <c r="B853" s="13"/>
      <c r="C853" s="13"/>
      <c r="D853" s="15"/>
      <c r="E853" s="13"/>
    </row>
    <row r="854" spans="1:5" ht="14.25" customHeight="1" x14ac:dyDescent="0.3">
      <c r="A854" s="13"/>
      <c r="B854" s="13"/>
      <c r="C854" s="13"/>
      <c r="D854" s="15"/>
      <c r="E854" s="13"/>
    </row>
    <row r="855" spans="1:5" ht="14.25" customHeight="1" x14ac:dyDescent="0.3">
      <c r="A855" s="13"/>
      <c r="B855" s="13"/>
      <c r="C855" s="13"/>
      <c r="D855" s="15"/>
      <c r="E855" s="13"/>
    </row>
    <row r="856" spans="1:5" ht="14.25" customHeight="1" x14ac:dyDescent="0.3">
      <c r="A856" s="13"/>
      <c r="B856" s="13"/>
      <c r="C856" s="13"/>
      <c r="D856" s="15"/>
      <c r="E856" s="13"/>
    </row>
    <row r="857" spans="1:5" ht="14.25" customHeight="1" x14ac:dyDescent="0.3">
      <c r="A857" s="13"/>
      <c r="B857" s="13"/>
      <c r="C857" s="13"/>
      <c r="D857" s="15"/>
      <c r="E857" s="13"/>
    </row>
    <row r="858" spans="1:5" ht="14.25" customHeight="1" x14ac:dyDescent="0.3">
      <c r="A858" s="13"/>
      <c r="B858" s="13"/>
      <c r="C858" s="13"/>
      <c r="D858" s="15"/>
      <c r="E858" s="13"/>
    </row>
    <row r="859" spans="1:5" ht="14.25" customHeight="1" x14ac:dyDescent="0.3">
      <c r="A859" s="13"/>
      <c r="B859" s="13"/>
      <c r="C859" s="13"/>
      <c r="D859" s="15"/>
      <c r="E859" s="13"/>
    </row>
    <row r="860" spans="1:5" ht="14.25" customHeight="1" x14ac:dyDescent="0.3">
      <c r="A860" s="13"/>
      <c r="B860" s="13"/>
      <c r="C860" s="13"/>
      <c r="D860" s="15"/>
      <c r="E860" s="13"/>
    </row>
    <row r="861" spans="1:5" ht="14.25" customHeight="1" x14ac:dyDescent="0.3">
      <c r="A861" s="13"/>
      <c r="B861" s="13"/>
      <c r="C861" s="13"/>
      <c r="D861" s="15"/>
      <c r="E861" s="13"/>
    </row>
    <row r="862" spans="1:5" ht="14.25" customHeight="1" x14ac:dyDescent="0.3">
      <c r="A862" s="13"/>
      <c r="B862" s="13"/>
      <c r="C862" s="13"/>
      <c r="D862" s="15"/>
      <c r="E862" s="13"/>
    </row>
    <row r="863" spans="1:5" ht="14.25" customHeight="1" x14ac:dyDescent="0.3">
      <c r="A863" s="13"/>
      <c r="B863" s="13"/>
      <c r="C863" s="13"/>
      <c r="D863" s="15"/>
      <c r="E863" s="13"/>
    </row>
    <row r="864" spans="1:5" ht="14.25" customHeight="1" x14ac:dyDescent="0.3">
      <c r="A864" s="13"/>
      <c r="B864" s="13"/>
      <c r="C864" s="13"/>
      <c r="D864" s="15"/>
      <c r="E864" s="13"/>
    </row>
    <row r="865" spans="1:5" ht="14.25" customHeight="1" x14ac:dyDescent="0.3">
      <c r="A865" s="13"/>
      <c r="B865" s="13"/>
      <c r="C865" s="13"/>
      <c r="D865" s="15"/>
      <c r="E865" s="13"/>
    </row>
    <row r="866" spans="1:5" ht="14.25" customHeight="1" x14ac:dyDescent="0.3">
      <c r="A866" s="13"/>
      <c r="B866" s="13"/>
      <c r="C866" s="13"/>
      <c r="D866" s="15"/>
      <c r="E866" s="13"/>
    </row>
    <row r="867" spans="1:5" ht="14.25" customHeight="1" x14ac:dyDescent="0.3">
      <c r="A867" s="13"/>
      <c r="B867" s="13"/>
      <c r="C867" s="13"/>
      <c r="D867" s="15"/>
      <c r="E867" s="13"/>
    </row>
    <row r="868" spans="1:5" ht="14.25" customHeight="1" x14ac:dyDescent="0.3">
      <c r="A868" s="13"/>
      <c r="B868" s="13"/>
      <c r="C868" s="13"/>
      <c r="D868" s="15"/>
      <c r="E868" s="13"/>
    </row>
    <row r="869" spans="1:5" ht="14.25" customHeight="1" x14ac:dyDescent="0.3">
      <c r="A869" s="13"/>
      <c r="B869" s="13"/>
      <c r="C869" s="13"/>
      <c r="D869" s="15"/>
      <c r="E869" s="13"/>
    </row>
    <row r="870" spans="1:5" ht="14.25" customHeight="1" x14ac:dyDescent="0.3">
      <c r="A870" s="13"/>
      <c r="B870" s="13"/>
      <c r="C870" s="13"/>
      <c r="D870" s="15"/>
      <c r="E870" s="13"/>
    </row>
    <row r="871" spans="1:5" ht="14.25" customHeight="1" x14ac:dyDescent="0.3">
      <c r="A871" s="13"/>
      <c r="B871" s="13"/>
      <c r="C871" s="13"/>
      <c r="D871" s="15"/>
      <c r="E871" s="13"/>
    </row>
    <row r="872" spans="1:5" ht="14.25" customHeight="1" x14ac:dyDescent="0.3">
      <c r="A872" s="13"/>
      <c r="B872" s="13"/>
      <c r="C872" s="13"/>
      <c r="D872" s="15"/>
      <c r="E872" s="13"/>
    </row>
    <row r="873" spans="1:5" ht="14.25" customHeight="1" x14ac:dyDescent="0.3">
      <c r="A873" s="13"/>
      <c r="B873" s="13"/>
      <c r="C873" s="13"/>
      <c r="D873" s="15"/>
      <c r="E873" s="13"/>
    </row>
    <row r="874" spans="1:5" ht="14.25" customHeight="1" x14ac:dyDescent="0.3">
      <c r="A874" s="13"/>
      <c r="B874" s="13"/>
      <c r="C874" s="13"/>
      <c r="D874" s="15"/>
      <c r="E874" s="13"/>
    </row>
    <row r="875" spans="1:5" ht="14.25" customHeight="1" x14ac:dyDescent="0.3">
      <c r="A875" s="13"/>
      <c r="B875" s="13"/>
      <c r="C875" s="13"/>
      <c r="D875" s="15"/>
      <c r="E875" s="13"/>
    </row>
    <row r="876" spans="1:5" ht="14.25" customHeight="1" x14ac:dyDescent="0.3">
      <c r="A876" s="13"/>
      <c r="B876" s="13"/>
      <c r="C876" s="13"/>
      <c r="D876" s="15"/>
      <c r="E876" s="13"/>
    </row>
    <row r="877" spans="1:5" ht="14.25" customHeight="1" x14ac:dyDescent="0.3">
      <c r="A877" s="13"/>
      <c r="B877" s="13"/>
      <c r="C877" s="13"/>
      <c r="D877" s="15"/>
      <c r="E877" s="13"/>
    </row>
    <row r="878" spans="1:5" ht="14.25" customHeight="1" x14ac:dyDescent="0.3">
      <c r="A878" s="13"/>
      <c r="B878" s="13"/>
      <c r="C878" s="13"/>
      <c r="D878" s="15"/>
      <c r="E878" s="13"/>
    </row>
    <row r="879" spans="1:5" ht="14.25" customHeight="1" x14ac:dyDescent="0.3">
      <c r="A879" s="13"/>
      <c r="B879" s="13"/>
      <c r="C879" s="13"/>
      <c r="D879" s="15"/>
      <c r="E879" s="13"/>
    </row>
    <row r="880" spans="1:5" ht="14.25" customHeight="1" x14ac:dyDescent="0.3">
      <c r="A880" s="13"/>
      <c r="B880" s="13"/>
      <c r="C880" s="13"/>
      <c r="D880" s="15"/>
      <c r="E880" s="13"/>
    </row>
    <row r="881" spans="1:5" ht="14.25" customHeight="1" x14ac:dyDescent="0.3">
      <c r="A881" s="13"/>
      <c r="B881" s="13"/>
      <c r="C881" s="13"/>
      <c r="D881" s="15"/>
      <c r="E881" s="13"/>
    </row>
    <row r="882" spans="1:5" ht="14.25" customHeight="1" x14ac:dyDescent="0.3">
      <c r="A882" s="13"/>
      <c r="B882" s="13"/>
      <c r="C882" s="13"/>
      <c r="D882" s="15"/>
      <c r="E882" s="13"/>
    </row>
    <row r="883" spans="1:5" ht="14.25" customHeight="1" x14ac:dyDescent="0.3">
      <c r="A883" s="13"/>
      <c r="B883" s="13"/>
      <c r="C883" s="13"/>
      <c r="D883" s="15"/>
      <c r="E883" s="13"/>
    </row>
    <row r="884" spans="1:5" ht="14.25" customHeight="1" x14ac:dyDescent="0.3">
      <c r="A884" s="13"/>
      <c r="B884" s="13"/>
      <c r="C884" s="13"/>
      <c r="D884" s="15"/>
      <c r="E884" s="13"/>
    </row>
    <row r="885" spans="1:5" ht="14.25" customHeight="1" x14ac:dyDescent="0.3">
      <c r="A885" s="13"/>
      <c r="B885" s="13"/>
      <c r="C885" s="13"/>
      <c r="D885" s="15"/>
      <c r="E885" s="13"/>
    </row>
    <row r="886" spans="1:5" ht="14.25" customHeight="1" x14ac:dyDescent="0.3">
      <c r="A886" s="13"/>
      <c r="B886" s="13"/>
      <c r="C886" s="13"/>
      <c r="D886" s="15"/>
      <c r="E886" s="13"/>
    </row>
    <row r="887" spans="1:5" ht="14.25" customHeight="1" x14ac:dyDescent="0.3">
      <c r="A887" s="13"/>
      <c r="B887" s="13"/>
      <c r="C887" s="13"/>
      <c r="D887" s="15"/>
      <c r="E887" s="13"/>
    </row>
    <row r="888" spans="1:5" ht="14.25" customHeight="1" x14ac:dyDescent="0.3">
      <c r="A888" s="13"/>
      <c r="B888" s="13"/>
      <c r="C888" s="13"/>
      <c r="D888" s="15"/>
      <c r="E888" s="13"/>
    </row>
    <row r="889" spans="1:5" ht="14.25" customHeight="1" x14ac:dyDescent="0.3">
      <c r="A889" s="13"/>
      <c r="B889" s="13"/>
      <c r="C889" s="13"/>
      <c r="D889" s="15"/>
      <c r="E889" s="13"/>
    </row>
    <row r="890" spans="1:5" ht="14.25" customHeight="1" x14ac:dyDescent="0.3">
      <c r="A890" s="13"/>
      <c r="B890" s="13"/>
      <c r="C890" s="13"/>
      <c r="D890" s="15"/>
      <c r="E890" s="13"/>
    </row>
    <row r="891" spans="1:5" ht="14.25" customHeight="1" x14ac:dyDescent="0.3">
      <c r="A891" s="13"/>
      <c r="B891" s="13"/>
      <c r="C891" s="13"/>
      <c r="D891" s="15"/>
      <c r="E891" s="13"/>
    </row>
    <row r="892" spans="1:5" ht="14.25" customHeight="1" x14ac:dyDescent="0.3">
      <c r="A892" s="13"/>
      <c r="B892" s="13"/>
      <c r="C892" s="13"/>
      <c r="D892" s="15"/>
      <c r="E892" s="13"/>
    </row>
    <row r="893" spans="1:5" ht="14.25" customHeight="1" x14ac:dyDescent="0.3">
      <c r="A893" s="13"/>
      <c r="B893" s="13"/>
      <c r="C893" s="13"/>
      <c r="D893" s="15"/>
      <c r="E893" s="13"/>
    </row>
    <row r="894" spans="1:5" ht="14.25" customHeight="1" x14ac:dyDescent="0.3">
      <c r="A894" s="13"/>
      <c r="B894" s="13"/>
      <c r="C894" s="13"/>
      <c r="D894" s="15"/>
      <c r="E894" s="13"/>
    </row>
    <row r="895" spans="1:5" ht="14.25" customHeight="1" x14ac:dyDescent="0.3">
      <c r="A895" s="13"/>
      <c r="B895" s="13"/>
      <c r="C895" s="13"/>
      <c r="D895" s="15"/>
      <c r="E895" s="13"/>
    </row>
    <row r="896" spans="1:5" ht="14.25" customHeight="1" x14ac:dyDescent="0.3">
      <c r="A896" s="13"/>
      <c r="B896" s="13"/>
      <c r="C896" s="13"/>
      <c r="D896" s="15"/>
      <c r="E896" s="13"/>
    </row>
    <row r="897" spans="1:5" ht="14.25" customHeight="1" x14ac:dyDescent="0.3">
      <c r="A897" s="13"/>
      <c r="B897" s="13"/>
      <c r="C897" s="13"/>
      <c r="D897" s="15"/>
      <c r="E897" s="13"/>
    </row>
    <row r="898" spans="1:5" ht="14.25" customHeight="1" x14ac:dyDescent="0.3">
      <c r="A898" s="13"/>
      <c r="B898" s="13"/>
      <c r="C898" s="13"/>
      <c r="D898" s="15"/>
      <c r="E898" s="13"/>
    </row>
    <row r="899" spans="1:5" ht="14.25" customHeight="1" x14ac:dyDescent="0.3">
      <c r="A899" s="13"/>
      <c r="B899" s="13"/>
      <c r="C899" s="13"/>
      <c r="D899" s="15"/>
      <c r="E899" s="13"/>
    </row>
    <row r="900" spans="1:5" ht="14.25" customHeight="1" x14ac:dyDescent="0.3">
      <c r="A900" s="13"/>
      <c r="B900" s="13"/>
      <c r="C900" s="13"/>
      <c r="D900" s="15"/>
      <c r="E900" s="13"/>
    </row>
    <row r="901" spans="1:5" ht="14.25" customHeight="1" x14ac:dyDescent="0.3">
      <c r="A901" s="13"/>
      <c r="B901" s="13"/>
      <c r="C901" s="13"/>
      <c r="D901" s="15"/>
      <c r="E901" s="13"/>
    </row>
    <row r="902" spans="1:5" ht="14.25" customHeight="1" x14ac:dyDescent="0.3">
      <c r="A902" s="13"/>
      <c r="B902" s="13"/>
      <c r="C902" s="13"/>
      <c r="D902" s="15"/>
      <c r="E902" s="13"/>
    </row>
    <row r="903" spans="1:5" ht="14.25" customHeight="1" x14ac:dyDescent="0.3">
      <c r="A903" s="13"/>
      <c r="B903" s="13"/>
      <c r="C903" s="13"/>
      <c r="D903" s="15"/>
      <c r="E903" s="13"/>
    </row>
    <row r="904" spans="1:5" ht="14.25" customHeight="1" x14ac:dyDescent="0.3">
      <c r="A904" s="13"/>
      <c r="B904" s="13"/>
      <c r="C904" s="13"/>
      <c r="D904" s="15"/>
      <c r="E904" s="13"/>
    </row>
    <row r="905" spans="1:5" ht="14.25" customHeight="1" x14ac:dyDescent="0.3">
      <c r="A905" s="13"/>
      <c r="B905" s="13"/>
      <c r="C905" s="13"/>
      <c r="D905" s="15"/>
      <c r="E905" s="13"/>
    </row>
    <row r="906" spans="1:5" ht="14.25" customHeight="1" x14ac:dyDescent="0.3">
      <c r="A906" s="13"/>
      <c r="B906" s="13"/>
      <c r="C906" s="13"/>
      <c r="D906" s="15"/>
      <c r="E906" s="13"/>
    </row>
    <row r="907" spans="1:5" ht="14.25" customHeight="1" x14ac:dyDescent="0.3">
      <c r="A907" s="13"/>
      <c r="B907" s="13"/>
      <c r="C907" s="13"/>
      <c r="D907" s="15"/>
      <c r="E907" s="13"/>
    </row>
    <row r="908" spans="1:5" ht="14.25" customHeight="1" x14ac:dyDescent="0.3">
      <c r="A908" s="13"/>
      <c r="B908" s="13"/>
      <c r="C908" s="13"/>
      <c r="D908" s="15"/>
      <c r="E908" s="13"/>
    </row>
    <row r="909" spans="1:5" ht="14.25" customHeight="1" x14ac:dyDescent="0.3">
      <c r="A909" s="13"/>
      <c r="B909" s="13"/>
      <c r="C909" s="13"/>
      <c r="D909" s="15"/>
      <c r="E909" s="13"/>
    </row>
    <row r="910" spans="1:5" ht="14.25" customHeight="1" x14ac:dyDescent="0.3">
      <c r="A910" s="13"/>
      <c r="B910" s="13"/>
      <c r="C910" s="13"/>
      <c r="D910" s="15"/>
      <c r="E910" s="13"/>
    </row>
    <row r="911" spans="1:5" ht="14.25" customHeight="1" x14ac:dyDescent="0.3">
      <c r="A911" s="13"/>
      <c r="B911" s="13"/>
      <c r="C911" s="13"/>
      <c r="D911" s="15"/>
      <c r="E911" s="13"/>
    </row>
    <row r="912" spans="1:5" ht="14.25" customHeight="1" x14ac:dyDescent="0.3">
      <c r="A912" s="13"/>
      <c r="B912" s="13"/>
      <c r="C912" s="13"/>
      <c r="D912" s="15"/>
      <c r="E912" s="13"/>
    </row>
    <row r="913" spans="1:5" ht="14.25" customHeight="1" x14ac:dyDescent="0.3">
      <c r="A913" s="13"/>
      <c r="B913" s="13"/>
      <c r="C913" s="13"/>
      <c r="D913" s="15"/>
      <c r="E913" s="13"/>
    </row>
    <row r="914" spans="1:5" ht="14.25" customHeight="1" x14ac:dyDescent="0.3">
      <c r="A914" s="13"/>
      <c r="B914" s="13"/>
      <c r="C914" s="13"/>
      <c r="D914" s="15"/>
      <c r="E914" s="13"/>
    </row>
    <row r="915" spans="1:5" ht="14.25" customHeight="1" x14ac:dyDescent="0.3">
      <c r="A915" s="13"/>
      <c r="B915" s="13"/>
      <c r="C915" s="13"/>
      <c r="D915" s="15"/>
      <c r="E915" s="13"/>
    </row>
    <row r="916" spans="1:5" ht="14.25" customHeight="1" x14ac:dyDescent="0.3">
      <c r="A916" s="13"/>
      <c r="B916" s="13"/>
      <c r="C916" s="13"/>
      <c r="D916" s="15"/>
      <c r="E916" s="13"/>
    </row>
    <row r="917" spans="1:5" ht="14.25" customHeight="1" x14ac:dyDescent="0.3">
      <c r="A917" s="13"/>
      <c r="B917" s="13"/>
      <c r="C917" s="13"/>
      <c r="D917" s="15"/>
      <c r="E917" s="13"/>
    </row>
    <row r="918" spans="1:5" ht="14.25" customHeight="1" x14ac:dyDescent="0.3">
      <c r="A918" s="13"/>
      <c r="B918" s="13"/>
      <c r="C918" s="13"/>
      <c r="D918" s="15"/>
      <c r="E918" s="13"/>
    </row>
    <row r="919" spans="1:5" ht="14.25" customHeight="1" x14ac:dyDescent="0.3">
      <c r="A919" s="13"/>
      <c r="B919" s="13"/>
      <c r="C919" s="13"/>
      <c r="D919" s="15"/>
      <c r="E919" s="13"/>
    </row>
    <row r="920" spans="1:5" ht="14.25" customHeight="1" x14ac:dyDescent="0.3">
      <c r="A920" s="13"/>
      <c r="B920" s="13"/>
      <c r="C920" s="13"/>
      <c r="D920" s="15"/>
      <c r="E920" s="13"/>
    </row>
    <row r="921" spans="1:5" ht="14.25" customHeight="1" x14ac:dyDescent="0.3">
      <c r="A921" s="13"/>
      <c r="B921" s="13"/>
      <c r="C921" s="13"/>
      <c r="D921" s="15"/>
      <c r="E921" s="13"/>
    </row>
    <row r="922" spans="1:5" ht="14.25" customHeight="1" x14ac:dyDescent="0.3">
      <c r="A922" s="13"/>
      <c r="B922" s="13"/>
      <c r="C922" s="13"/>
      <c r="D922" s="15"/>
      <c r="E922" s="13"/>
    </row>
    <row r="923" spans="1:5" ht="14.25" customHeight="1" x14ac:dyDescent="0.3">
      <c r="A923" s="13"/>
      <c r="B923" s="13"/>
      <c r="C923" s="13"/>
      <c r="D923" s="15"/>
      <c r="E923" s="13"/>
    </row>
    <row r="924" spans="1:5" ht="14.25" customHeight="1" x14ac:dyDescent="0.3">
      <c r="A924" s="13"/>
      <c r="B924" s="13"/>
      <c r="C924" s="13"/>
      <c r="D924" s="15"/>
      <c r="E924" s="13"/>
    </row>
    <row r="925" spans="1:5" ht="14.25" customHeight="1" x14ac:dyDescent="0.3">
      <c r="A925" s="13"/>
      <c r="B925" s="13"/>
      <c r="C925" s="13"/>
      <c r="D925" s="15"/>
      <c r="E925" s="13"/>
    </row>
    <row r="926" spans="1:5" ht="14.25" customHeight="1" x14ac:dyDescent="0.3">
      <c r="A926" s="13"/>
      <c r="B926" s="13"/>
      <c r="C926" s="13"/>
      <c r="D926" s="15"/>
      <c r="E926" s="13"/>
    </row>
    <row r="927" spans="1:5" ht="14.25" customHeight="1" x14ac:dyDescent="0.3">
      <c r="A927" s="13"/>
      <c r="B927" s="13"/>
      <c r="C927" s="13"/>
      <c r="D927" s="15"/>
      <c r="E927" s="13"/>
    </row>
    <row r="928" spans="1:5" ht="14.25" customHeight="1" x14ac:dyDescent="0.3">
      <c r="A928" s="13"/>
      <c r="B928" s="13"/>
      <c r="C928" s="13"/>
      <c r="D928" s="15"/>
      <c r="E928" s="13"/>
    </row>
    <row r="929" spans="1:5" ht="14.25" customHeight="1" x14ac:dyDescent="0.3">
      <c r="A929" s="13"/>
      <c r="B929" s="13"/>
      <c r="C929" s="13"/>
      <c r="D929" s="15"/>
      <c r="E929" s="13"/>
    </row>
    <row r="930" spans="1:5" ht="14.25" customHeight="1" x14ac:dyDescent="0.3">
      <c r="A930" s="13"/>
      <c r="B930" s="13"/>
      <c r="C930" s="13"/>
      <c r="D930" s="15"/>
      <c r="E930" s="13"/>
    </row>
    <row r="931" spans="1:5" ht="14.25" customHeight="1" x14ac:dyDescent="0.3">
      <c r="A931" s="13"/>
      <c r="B931" s="13"/>
      <c r="C931" s="13"/>
      <c r="D931" s="15"/>
      <c r="E931" s="13"/>
    </row>
    <row r="932" spans="1:5" ht="14.25" customHeight="1" x14ac:dyDescent="0.3">
      <c r="A932" s="13"/>
      <c r="B932" s="13"/>
      <c r="C932" s="13"/>
      <c r="D932" s="15"/>
      <c r="E932" s="13"/>
    </row>
    <row r="933" spans="1:5" ht="14.25" customHeight="1" x14ac:dyDescent="0.3">
      <c r="A933" s="13"/>
      <c r="B933" s="13"/>
      <c r="C933" s="13"/>
      <c r="D933" s="15"/>
      <c r="E933" s="13"/>
    </row>
    <row r="934" spans="1:5" ht="14.25" customHeight="1" x14ac:dyDescent="0.3">
      <c r="A934" s="13"/>
      <c r="B934" s="13"/>
      <c r="C934" s="13"/>
      <c r="D934" s="15"/>
      <c r="E934" s="13"/>
    </row>
    <row r="935" spans="1:5" ht="14.25" customHeight="1" x14ac:dyDescent="0.3">
      <c r="A935" s="13"/>
      <c r="B935" s="13"/>
      <c r="C935" s="13"/>
      <c r="D935" s="15"/>
      <c r="E935" s="13"/>
    </row>
    <row r="936" spans="1:5" ht="14.25" customHeight="1" x14ac:dyDescent="0.3">
      <c r="A936" s="13"/>
      <c r="B936" s="13"/>
      <c r="C936" s="13"/>
      <c r="D936" s="15"/>
      <c r="E936" s="13"/>
    </row>
    <row r="937" spans="1:5" ht="14.25" customHeight="1" x14ac:dyDescent="0.3">
      <c r="A937" s="13"/>
      <c r="B937" s="13"/>
      <c r="C937" s="13"/>
      <c r="D937" s="15"/>
      <c r="E937" s="13"/>
    </row>
    <row r="938" spans="1:5" ht="14.25" customHeight="1" x14ac:dyDescent="0.3">
      <c r="A938" s="13"/>
      <c r="B938" s="13"/>
      <c r="C938" s="13"/>
      <c r="D938" s="15"/>
      <c r="E938" s="13"/>
    </row>
    <row r="939" spans="1:5" ht="14.25" customHeight="1" x14ac:dyDescent="0.3">
      <c r="A939" s="13"/>
      <c r="B939" s="13"/>
      <c r="C939" s="13"/>
      <c r="D939" s="15"/>
      <c r="E939" s="13"/>
    </row>
    <row r="940" spans="1:5" ht="14.25" customHeight="1" x14ac:dyDescent="0.3">
      <c r="A940" s="13"/>
      <c r="B940" s="13"/>
      <c r="C940" s="13"/>
      <c r="D940" s="15"/>
      <c r="E940" s="13"/>
    </row>
    <row r="941" spans="1:5" ht="14.25" customHeight="1" x14ac:dyDescent="0.3">
      <c r="A941" s="13"/>
      <c r="B941" s="13"/>
      <c r="C941" s="13"/>
      <c r="D941" s="15"/>
      <c r="E941" s="13"/>
    </row>
    <row r="942" spans="1:5" ht="14.25" customHeight="1" x14ac:dyDescent="0.3">
      <c r="A942" s="13"/>
      <c r="B942" s="13"/>
      <c r="C942" s="13"/>
      <c r="D942" s="15"/>
      <c r="E942" s="13"/>
    </row>
    <row r="943" spans="1:5" ht="14.25" customHeight="1" x14ac:dyDescent="0.3">
      <c r="A943" s="13"/>
      <c r="B943" s="13"/>
      <c r="C943" s="13"/>
      <c r="D943" s="15"/>
      <c r="E943" s="13"/>
    </row>
    <row r="944" spans="1:5" ht="14.25" customHeight="1" x14ac:dyDescent="0.3">
      <c r="A944" s="13"/>
      <c r="B944" s="13"/>
      <c r="C944" s="13"/>
      <c r="D944" s="15"/>
      <c r="E944" s="13"/>
    </row>
    <row r="945" spans="1:5" ht="14.25" customHeight="1" x14ac:dyDescent="0.3">
      <c r="A945" s="13"/>
      <c r="B945" s="13"/>
      <c r="C945" s="13"/>
      <c r="D945" s="15"/>
      <c r="E945" s="13"/>
    </row>
    <row r="946" spans="1:5" ht="14.25" customHeight="1" x14ac:dyDescent="0.3">
      <c r="A946" s="13"/>
      <c r="B946" s="13"/>
      <c r="C946" s="13"/>
      <c r="D946" s="15"/>
      <c r="E946" s="13"/>
    </row>
    <row r="947" spans="1:5" ht="14.25" customHeight="1" x14ac:dyDescent="0.3">
      <c r="A947" s="13"/>
      <c r="B947" s="13"/>
      <c r="C947" s="13"/>
      <c r="D947" s="15"/>
      <c r="E947" s="13"/>
    </row>
    <row r="948" spans="1:5" ht="14.25" customHeight="1" x14ac:dyDescent="0.3">
      <c r="A948" s="13"/>
      <c r="B948" s="13"/>
      <c r="C948" s="13"/>
      <c r="D948" s="15"/>
      <c r="E948" s="13"/>
    </row>
    <row r="949" spans="1:5" ht="14.25" customHeight="1" x14ac:dyDescent="0.3">
      <c r="A949" s="13"/>
      <c r="B949" s="13"/>
      <c r="C949" s="13"/>
      <c r="D949" s="15"/>
      <c r="E949" s="13"/>
    </row>
    <row r="950" spans="1:5" ht="14.25" customHeight="1" x14ac:dyDescent="0.3">
      <c r="A950" s="13"/>
      <c r="B950" s="13"/>
      <c r="C950" s="13"/>
      <c r="D950" s="15"/>
      <c r="E950" s="13"/>
    </row>
    <row r="951" spans="1:5" ht="14.25" customHeight="1" x14ac:dyDescent="0.3">
      <c r="A951" s="13"/>
      <c r="B951" s="13"/>
      <c r="C951" s="13"/>
      <c r="D951" s="15"/>
      <c r="E951" s="13"/>
    </row>
    <row r="952" spans="1:5" ht="14.25" customHeight="1" x14ac:dyDescent="0.3">
      <c r="A952" s="13"/>
      <c r="B952" s="13"/>
      <c r="C952" s="13"/>
      <c r="D952" s="15"/>
      <c r="E952" s="13"/>
    </row>
    <row r="953" spans="1:5" ht="14.25" customHeight="1" x14ac:dyDescent="0.3">
      <c r="A953" s="13"/>
      <c r="B953" s="13"/>
      <c r="C953" s="13"/>
      <c r="D953" s="15"/>
      <c r="E953" s="13"/>
    </row>
    <row r="954" spans="1:5" ht="14.25" customHeight="1" x14ac:dyDescent="0.3">
      <c r="A954" s="13"/>
      <c r="B954" s="13"/>
      <c r="C954" s="13"/>
      <c r="D954" s="15"/>
      <c r="E954" s="13"/>
    </row>
    <row r="955" spans="1:5" ht="14.25" customHeight="1" x14ac:dyDescent="0.3">
      <c r="A955" s="13"/>
      <c r="B955" s="13"/>
      <c r="C955" s="13"/>
      <c r="D955" s="15"/>
      <c r="E955" s="13"/>
    </row>
    <row r="956" spans="1:5" ht="14.25" customHeight="1" x14ac:dyDescent="0.3">
      <c r="A956" s="13"/>
      <c r="B956" s="13"/>
      <c r="C956" s="13"/>
      <c r="D956" s="15"/>
      <c r="E956" s="13"/>
    </row>
    <row r="957" spans="1:5" ht="14.25" customHeight="1" x14ac:dyDescent="0.3">
      <c r="A957" s="13"/>
      <c r="B957" s="13"/>
      <c r="C957" s="13"/>
      <c r="D957" s="15"/>
      <c r="E957" s="13"/>
    </row>
    <row r="958" spans="1:5" ht="14.25" customHeight="1" x14ac:dyDescent="0.3">
      <c r="A958" s="13"/>
      <c r="B958" s="13"/>
      <c r="C958" s="13"/>
      <c r="D958" s="15"/>
      <c r="E958" s="13"/>
    </row>
    <row r="959" spans="1:5" ht="14.25" customHeight="1" x14ac:dyDescent="0.3">
      <c r="A959" s="13"/>
      <c r="B959" s="13"/>
      <c r="C959" s="13"/>
      <c r="D959" s="15"/>
      <c r="E959" s="13"/>
    </row>
    <row r="960" spans="1:5" ht="14.25" customHeight="1" x14ac:dyDescent="0.3">
      <c r="A960" s="13"/>
      <c r="B960" s="13"/>
      <c r="C960" s="13"/>
      <c r="D960" s="15"/>
      <c r="E960" s="13"/>
    </row>
    <row r="961" spans="1:5" ht="14.25" customHeight="1" x14ac:dyDescent="0.3">
      <c r="A961" s="13"/>
      <c r="B961" s="13"/>
      <c r="C961" s="13"/>
      <c r="D961" s="15"/>
      <c r="E961" s="13"/>
    </row>
    <row r="962" spans="1:5" ht="14.25" customHeight="1" x14ac:dyDescent="0.3">
      <c r="A962" s="13"/>
      <c r="B962" s="13"/>
      <c r="C962" s="13"/>
      <c r="D962" s="15"/>
      <c r="E962" s="13"/>
    </row>
    <row r="963" spans="1:5" ht="14.25" customHeight="1" x14ac:dyDescent="0.3">
      <c r="A963" s="13"/>
      <c r="B963" s="13"/>
      <c r="C963" s="13"/>
      <c r="D963" s="15"/>
      <c r="E963" s="13"/>
    </row>
    <row r="964" spans="1:5" ht="14.25" customHeight="1" x14ac:dyDescent="0.3">
      <c r="A964" s="13"/>
      <c r="B964" s="13"/>
      <c r="C964" s="13"/>
      <c r="D964" s="15"/>
      <c r="E964" s="13"/>
    </row>
    <row r="965" spans="1:5" ht="14.25" customHeight="1" x14ac:dyDescent="0.3">
      <c r="A965" s="13"/>
      <c r="B965" s="13"/>
      <c r="C965" s="13"/>
      <c r="D965" s="15"/>
      <c r="E965" s="13"/>
    </row>
    <row r="966" spans="1:5" ht="14.25" customHeight="1" x14ac:dyDescent="0.3">
      <c r="A966" s="13"/>
      <c r="B966" s="13"/>
      <c r="C966" s="13"/>
      <c r="D966" s="15"/>
      <c r="E966" s="13"/>
    </row>
    <row r="967" spans="1:5" ht="14.25" customHeight="1" x14ac:dyDescent="0.3">
      <c r="A967" s="13"/>
      <c r="B967" s="13"/>
      <c r="C967" s="13"/>
      <c r="D967" s="15"/>
      <c r="E967" s="13"/>
    </row>
    <row r="968" spans="1:5" ht="14.25" customHeight="1" x14ac:dyDescent="0.3">
      <c r="A968" s="13"/>
      <c r="B968" s="13"/>
      <c r="C968" s="13"/>
      <c r="D968" s="15"/>
      <c r="E968" s="13"/>
    </row>
    <row r="969" spans="1:5" ht="14.25" customHeight="1" x14ac:dyDescent="0.3">
      <c r="A969" s="13"/>
      <c r="B969" s="13"/>
      <c r="C969" s="13"/>
      <c r="D969" s="15"/>
      <c r="E969" s="13"/>
    </row>
    <row r="970" spans="1:5" ht="14.25" customHeight="1" x14ac:dyDescent="0.3">
      <c r="A970" s="13"/>
      <c r="B970" s="13"/>
      <c r="C970" s="13"/>
      <c r="D970" s="15"/>
      <c r="E970" s="13"/>
    </row>
    <row r="971" spans="1:5" ht="14.25" customHeight="1" x14ac:dyDescent="0.3">
      <c r="A971" s="13"/>
      <c r="B971" s="13"/>
      <c r="C971" s="13"/>
      <c r="D971" s="15"/>
      <c r="E971" s="13"/>
    </row>
    <row r="972" spans="1:5" ht="14.25" customHeight="1" x14ac:dyDescent="0.3">
      <c r="A972" s="13"/>
      <c r="B972" s="13"/>
      <c r="C972" s="13"/>
      <c r="D972" s="15"/>
      <c r="E972" s="13"/>
    </row>
    <row r="973" spans="1:5" ht="14.25" customHeight="1" x14ac:dyDescent="0.3">
      <c r="A973" s="13"/>
      <c r="B973" s="13"/>
      <c r="C973" s="13"/>
      <c r="D973" s="15"/>
      <c r="E973" s="13"/>
    </row>
    <row r="974" spans="1:5" ht="14.25" customHeight="1" x14ac:dyDescent="0.3">
      <c r="A974" s="13"/>
      <c r="B974" s="13"/>
      <c r="C974" s="13"/>
      <c r="D974" s="15"/>
      <c r="E974" s="13"/>
    </row>
    <row r="975" spans="1:5" ht="14.25" customHeight="1" x14ac:dyDescent="0.3">
      <c r="A975" s="13"/>
      <c r="B975" s="13"/>
      <c r="C975" s="13"/>
      <c r="D975" s="15"/>
      <c r="E975" s="13"/>
    </row>
    <row r="976" spans="1:5" ht="14.25" customHeight="1" x14ac:dyDescent="0.3">
      <c r="A976" s="13"/>
      <c r="B976" s="13"/>
      <c r="C976" s="13"/>
      <c r="D976" s="15"/>
      <c r="E976" s="13"/>
    </row>
    <row r="977" spans="1:5" ht="14.25" customHeight="1" x14ac:dyDescent="0.3">
      <c r="A977" s="13"/>
      <c r="B977" s="13"/>
      <c r="C977" s="13"/>
      <c r="D977" s="15"/>
      <c r="E977" s="13"/>
    </row>
    <row r="978" spans="1:5" ht="14.25" customHeight="1" x14ac:dyDescent="0.3">
      <c r="A978" s="13"/>
      <c r="B978" s="13"/>
      <c r="C978" s="13"/>
      <c r="D978" s="15"/>
      <c r="E978" s="13"/>
    </row>
    <row r="979" spans="1:5" ht="14.25" customHeight="1" x14ac:dyDescent="0.3">
      <c r="A979" s="13"/>
      <c r="B979" s="13"/>
      <c r="C979" s="13"/>
      <c r="D979" s="15"/>
      <c r="E979" s="13"/>
    </row>
    <row r="980" spans="1:5" ht="14.25" customHeight="1" x14ac:dyDescent="0.3">
      <c r="A980" s="13"/>
      <c r="B980" s="13"/>
      <c r="C980" s="13"/>
      <c r="D980" s="15"/>
      <c r="E980" s="13"/>
    </row>
    <row r="981" spans="1:5" ht="14.25" customHeight="1" x14ac:dyDescent="0.3">
      <c r="A981" s="13"/>
      <c r="B981" s="13"/>
      <c r="C981" s="13"/>
      <c r="D981" s="15"/>
      <c r="E981" s="13"/>
    </row>
    <row r="982" spans="1:5" ht="14.25" customHeight="1" x14ac:dyDescent="0.3">
      <c r="A982" s="13"/>
      <c r="B982" s="13"/>
      <c r="C982" s="13"/>
      <c r="D982" s="15"/>
      <c r="E982" s="13"/>
    </row>
    <row r="983" spans="1:5" ht="14.25" customHeight="1" x14ac:dyDescent="0.3">
      <c r="A983" s="13"/>
      <c r="B983" s="13"/>
      <c r="C983" s="13"/>
      <c r="D983" s="15"/>
      <c r="E983" s="13"/>
    </row>
    <row r="984" spans="1:5" ht="14.25" customHeight="1" x14ac:dyDescent="0.3">
      <c r="A984" s="13"/>
      <c r="B984" s="13"/>
      <c r="C984" s="13"/>
      <c r="D984" s="15"/>
      <c r="E984" s="13"/>
    </row>
    <row r="985" spans="1:5" ht="14.25" customHeight="1" x14ac:dyDescent="0.3">
      <c r="A985" s="13"/>
      <c r="B985" s="13"/>
      <c r="C985" s="13"/>
      <c r="D985" s="15"/>
      <c r="E985" s="13"/>
    </row>
    <row r="986" spans="1:5" ht="14.25" customHeight="1" x14ac:dyDescent="0.3">
      <c r="A986" s="13"/>
      <c r="B986" s="13"/>
      <c r="C986" s="13"/>
      <c r="D986" s="15"/>
      <c r="E986" s="13"/>
    </row>
    <row r="987" spans="1:5" ht="14.25" customHeight="1" x14ac:dyDescent="0.3">
      <c r="A987" s="13"/>
      <c r="B987" s="13"/>
      <c r="C987" s="13"/>
      <c r="D987" s="15"/>
      <c r="E987" s="13"/>
    </row>
    <row r="988" spans="1:5" ht="14.25" customHeight="1" x14ac:dyDescent="0.3">
      <c r="A988" s="13"/>
      <c r="B988" s="13"/>
      <c r="C988" s="13"/>
      <c r="D988" s="15"/>
      <c r="E988" s="13"/>
    </row>
    <row r="989" spans="1:5" ht="14.25" customHeight="1" x14ac:dyDescent="0.3">
      <c r="A989" s="13"/>
      <c r="B989" s="13"/>
      <c r="C989" s="13"/>
      <c r="D989" s="15"/>
      <c r="E989" s="13"/>
    </row>
    <row r="990" spans="1:5" ht="14.25" customHeight="1" x14ac:dyDescent="0.3">
      <c r="A990" s="13"/>
      <c r="B990" s="13"/>
      <c r="C990" s="13"/>
      <c r="D990" s="15"/>
      <c r="E990" s="13"/>
    </row>
    <row r="991" spans="1:5" ht="14.25" customHeight="1" x14ac:dyDescent="0.3">
      <c r="A991" s="13"/>
      <c r="B991" s="13"/>
      <c r="C991" s="13"/>
      <c r="D991" s="15"/>
      <c r="E991" s="13"/>
    </row>
    <row r="992" spans="1:5" ht="14.25" customHeight="1" x14ac:dyDescent="0.3">
      <c r="A992" s="13"/>
      <c r="B992" s="13"/>
      <c r="C992" s="13"/>
      <c r="D992" s="15"/>
      <c r="E992" s="13"/>
    </row>
    <row r="993" spans="1:5" ht="14.25" customHeight="1" x14ac:dyDescent="0.3">
      <c r="A993" s="13"/>
      <c r="B993" s="13"/>
      <c r="C993" s="13"/>
      <c r="D993" s="15"/>
      <c r="E993" s="13"/>
    </row>
    <row r="994" spans="1:5" ht="14.25" customHeight="1" x14ac:dyDescent="0.3">
      <c r="A994" s="13"/>
      <c r="B994" s="13"/>
      <c r="C994" s="13"/>
      <c r="D994" s="15"/>
      <c r="E994" s="13"/>
    </row>
    <row r="995" spans="1:5" ht="14.25" customHeight="1" x14ac:dyDescent="0.3">
      <c r="A995" s="13"/>
      <c r="B995" s="13"/>
      <c r="C995" s="13"/>
      <c r="D995" s="15"/>
      <c r="E995" s="13"/>
    </row>
    <row r="996" spans="1:5" ht="14.25" customHeight="1" x14ac:dyDescent="0.3">
      <c r="A996" s="13"/>
      <c r="B996" s="13"/>
      <c r="C996" s="13"/>
      <c r="D996" s="15"/>
      <c r="E996" s="13"/>
    </row>
    <row r="997" spans="1:5" ht="14.25" customHeight="1" x14ac:dyDescent="0.3">
      <c r="A997" s="13"/>
      <c r="B997" s="13"/>
      <c r="C997" s="13"/>
      <c r="D997" s="15"/>
      <c r="E997" s="13"/>
    </row>
    <row r="998" spans="1:5" ht="14.25" customHeight="1" x14ac:dyDescent="0.3">
      <c r="A998" s="13"/>
      <c r="B998" s="13"/>
      <c r="C998" s="13"/>
      <c r="D998" s="15"/>
      <c r="E998" s="13"/>
    </row>
    <row r="999" spans="1:5" ht="14.25" customHeight="1" x14ac:dyDescent="0.3">
      <c r="A999" s="13"/>
      <c r="B999" s="13"/>
      <c r="C999" s="13"/>
      <c r="D999" s="15"/>
      <c r="E999" s="13"/>
    </row>
    <row r="1000" spans="1:5" ht="14.25" customHeight="1" x14ac:dyDescent="0.3">
      <c r="A1000" s="13"/>
      <c r="B1000" s="13"/>
      <c r="C1000" s="13"/>
      <c r="D1000" s="15"/>
      <c r="E1000" s="13"/>
    </row>
    <row r="1001" spans="1:5" ht="15" customHeight="1" x14ac:dyDescent="0.3">
      <c r="A1001" s="13"/>
      <c r="B1001" s="13"/>
      <c r="C1001" s="13"/>
      <c r="D1001" s="15"/>
      <c r="E1001" s="13"/>
    </row>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C588A-661F-4005-BCA8-56CCC2DECF0B}">
  <sheetPr>
    <outlinePr summaryBelow="0" summaryRight="0"/>
  </sheetPr>
  <dimension ref="A1:Z1000"/>
  <sheetViews>
    <sheetView workbookViewId="0">
      <selection activeCell="C21" sqref="C21"/>
    </sheetView>
  </sheetViews>
  <sheetFormatPr defaultColWidth="14.44140625" defaultRowHeight="15" customHeight="1" x14ac:dyDescent="0.3"/>
  <cols>
    <col min="1" max="16384" width="14.44140625" style="8"/>
  </cols>
  <sheetData>
    <row r="1" spans="1:26" x14ac:dyDescent="0.3">
      <c r="A1" s="4" t="s">
        <v>6</v>
      </c>
      <c r="B1" s="4" t="s">
        <v>376</v>
      </c>
      <c r="C1" s="19"/>
      <c r="D1" s="19"/>
      <c r="E1" s="19"/>
      <c r="F1" s="19"/>
      <c r="G1" s="19"/>
      <c r="H1" s="19"/>
      <c r="I1" s="19"/>
      <c r="J1" s="19"/>
      <c r="K1" s="19"/>
      <c r="L1" s="19"/>
      <c r="M1" s="19"/>
      <c r="N1" s="19"/>
      <c r="O1" s="19"/>
      <c r="P1" s="19"/>
      <c r="Q1" s="19"/>
      <c r="R1" s="19"/>
      <c r="S1" s="19"/>
      <c r="T1" s="19"/>
      <c r="U1" s="19"/>
      <c r="V1" s="19"/>
      <c r="W1" s="19"/>
      <c r="X1" s="19"/>
      <c r="Y1" s="19"/>
      <c r="Z1" s="19"/>
    </row>
    <row r="2" spans="1:26" x14ac:dyDescent="0.3">
      <c r="A2" s="9" t="s">
        <v>45</v>
      </c>
      <c r="B2" s="20">
        <v>97500</v>
      </c>
      <c r="C2" s="19"/>
      <c r="D2" s="19"/>
      <c r="E2" s="19"/>
      <c r="F2" s="19"/>
      <c r="G2" s="19"/>
      <c r="H2" s="19"/>
      <c r="I2" s="19"/>
      <c r="J2" s="19"/>
      <c r="K2" s="19"/>
      <c r="L2" s="19"/>
      <c r="M2" s="19"/>
      <c r="N2" s="19"/>
      <c r="O2" s="19"/>
      <c r="P2" s="19"/>
      <c r="Q2" s="19"/>
      <c r="R2" s="19"/>
      <c r="S2" s="19"/>
      <c r="T2" s="19"/>
      <c r="U2" s="19"/>
      <c r="V2" s="19"/>
      <c r="W2" s="19"/>
      <c r="X2" s="19"/>
      <c r="Y2" s="19"/>
      <c r="Z2" s="19"/>
    </row>
    <row r="3" spans="1:26" x14ac:dyDescent="0.3">
      <c r="A3" s="9" t="s">
        <v>23</v>
      </c>
      <c r="B3" s="20">
        <v>50500</v>
      </c>
      <c r="C3" s="19"/>
      <c r="D3" s="19"/>
      <c r="E3" s="19"/>
      <c r="F3" s="19"/>
      <c r="G3" s="19"/>
      <c r="H3" s="19"/>
      <c r="I3" s="19"/>
      <c r="J3" s="19"/>
      <c r="K3" s="19"/>
      <c r="L3" s="19"/>
      <c r="M3" s="19"/>
      <c r="N3" s="19"/>
      <c r="O3" s="19"/>
      <c r="P3" s="19"/>
      <c r="Q3" s="19"/>
      <c r="R3" s="19"/>
      <c r="S3" s="19"/>
      <c r="T3" s="19"/>
      <c r="U3" s="19"/>
      <c r="V3" s="19"/>
      <c r="W3" s="19"/>
      <c r="X3" s="19"/>
      <c r="Y3" s="19"/>
      <c r="Z3" s="19"/>
    </row>
    <row r="4" spans="1:26" x14ac:dyDescent="0.3">
      <c r="A4" s="9" t="s">
        <v>16</v>
      </c>
      <c r="B4" s="20">
        <v>105000</v>
      </c>
      <c r="C4" s="19"/>
      <c r="D4" s="19"/>
      <c r="E4" s="19"/>
      <c r="F4" s="19"/>
      <c r="G4" s="19"/>
      <c r="H4" s="19"/>
      <c r="I4" s="19"/>
      <c r="J4" s="19"/>
      <c r="K4" s="19"/>
      <c r="L4" s="19"/>
      <c r="M4" s="19"/>
      <c r="N4" s="19"/>
      <c r="O4" s="19"/>
      <c r="P4" s="19"/>
      <c r="Q4" s="19"/>
      <c r="R4" s="19"/>
      <c r="S4" s="19"/>
      <c r="T4" s="19"/>
      <c r="U4" s="19"/>
      <c r="V4" s="19"/>
      <c r="W4" s="19"/>
      <c r="X4" s="19"/>
      <c r="Y4" s="19"/>
      <c r="Z4" s="19"/>
    </row>
    <row r="5" spans="1:26" x14ac:dyDescent="0.3">
      <c r="A5" s="9" t="s">
        <v>28</v>
      </c>
      <c r="B5" s="20">
        <v>91500</v>
      </c>
      <c r="C5" s="19"/>
      <c r="D5" s="19"/>
      <c r="E5" s="19"/>
      <c r="F5" s="19"/>
      <c r="G5" s="19"/>
      <c r="H5" s="19"/>
      <c r="I5" s="19"/>
      <c r="J5" s="19"/>
      <c r="K5" s="19"/>
      <c r="L5" s="19"/>
      <c r="M5" s="19"/>
      <c r="N5" s="19"/>
      <c r="O5" s="19"/>
      <c r="P5" s="19"/>
      <c r="Q5" s="19"/>
      <c r="R5" s="19"/>
      <c r="S5" s="19"/>
      <c r="T5" s="19"/>
      <c r="U5" s="19"/>
      <c r="V5" s="19"/>
      <c r="W5" s="19"/>
      <c r="X5" s="19"/>
      <c r="Y5" s="19"/>
      <c r="Z5" s="19"/>
    </row>
    <row r="6" spans="1:26" x14ac:dyDescent="0.3">
      <c r="A6" s="9" t="s">
        <v>50</v>
      </c>
      <c r="B6" s="20">
        <v>90750</v>
      </c>
      <c r="C6" s="19"/>
      <c r="F6" s="19"/>
      <c r="G6" s="19"/>
      <c r="H6" s="19"/>
      <c r="I6" s="19"/>
      <c r="J6" s="19"/>
      <c r="K6" s="19"/>
      <c r="L6" s="19"/>
      <c r="M6" s="19"/>
      <c r="N6" s="19"/>
      <c r="O6" s="19"/>
      <c r="P6" s="19"/>
      <c r="Q6" s="19"/>
      <c r="R6" s="19"/>
      <c r="S6" s="19"/>
      <c r="T6" s="19"/>
      <c r="U6" s="19"/>
      <c r="V6" s="19"/>
      <c r="W6" s="19"/>
      <c r="X6" s="19"/>
      <c r="Y6" s="19"/>
      <c r="Z6" s="19"/>
    </row>
    <row r="7" spans="1:26" x14ac:dyDescent="0.3">
      <c r="A7" s="19"/>
      <c r="B7" s="19"/>
      <c r="C7" s="19"/>
      <c r="F7" s="19"/>
      <c r="G7" s="19"/>
      <c r="H7" s="19"/>
      <c r="I7" s="19"/>
      <c r="J7" s="19"/>
      <c r="K7" s="19"/>
      <c r="L7" s="19"/>
      <c r="M7" s="19"/>
      <c r="N7" s="19"/>
      <c r="O7" s="19"/>
      <c r="P7" s="19"/>
      <c r="Q7" s="19"/>
      <c r="R7" s="19"/>
      <c r="S7" s="19"/>
      <c r="T7" s="19"/>
      <c r="U7" s="19"/>
      <c r="V7" s="19"/>
      <c r="W7" s="19"/>
      <c r="X7" s="19"/>
      <c r="Y7" s="19"/>
      <c r="Z7" s="19"/>
    </row>
    <row r="8" spans="1:26" x14ac:dyDescent="0.3">
      <c r="A8" s="19"/>
      <c r="B8" s="19"/>
      <c r="C8" s="19"/>
      <c r="F8" s="19"/>
      <c r="G8" s="19"/>
      <c r="H8" s="19"/>
      <c r="I8" s="19"/>
      <c r="J8" s="19"/>
      <c r="K8" s="19"/>
      <c r="L8" s="19"/>
      <c r="M8" s="19"/>
      <c r="N8" s="19"/>
      <c r="O8" s="19"/>
      <c r="P8" s="19"/>
      <c r="Q8" s="19"/>
      <c r="R8" s="19"/>
      <c r="S8" s="19"/>
      <c r="T8" s="19"/>
      <c r="U8" s="19"/>
      <c r="V8" s="19"/>
      <c r="W8" s="19"/>
      <c r="X8" s="19"/>
      <c r="Y8" s="19"/>
      <c r="Z8" s="19"/>
    </row>
    <row r="9" spans="1:26" x14ac:dyDescent="0.3">
      <c r="A9" s="19"/>
      <c r="B9" s="19"/>
      <c r="C9" s="19"/>
      <c r="F9" s="19"/>
      <c r="G9" s="19"/>
      <c r="H9" s="19"/>
      <c r="I9" s="19"/>
      <c r="J9" s="19"/>
      <c r="K9" s="19"/>
      <c r="L9" s="19"/>
      <c r="M9" s="19"/>
      <c r="N9" s="19"/>
      <c r="O9" s="19"/>
      <c r="P9" s="19"/>
      <c r="Q9" s="19"/>
      <c r="R9" s="19"/>
      <c r="S9" s="19"/>
      <c r="T9" s="19"/>
      <c r="U9" s="19"/>
      <c r="V9" s="19"/>
      <c r="W9" s="19"/>
      <c r="X9" s="19"/>
      <c r="Y9" s="19"/>
      <c r="Z9" s="19"/>
    </row>
    <row r="10" spans="1:26" x14ac:dyDescent="0.3">
      <c r="A10" s="19"/>
      <c r="B10" s="19"/>
      <c r="C10" s="19"/>
      <c r="F10" s="19"/>
      <c r="G10" s="19"/>
      <c r="H10" s="19"/>
      <c r="I10" s="19"/>
      <c r="J10" s="19"/>
      <c r="K10" s="19"/>
      <c r="L10" s="19"/>
      <c r="M10" s="19"/>
      <c r="N10" s="19"/>
      <c r="O10" s="19"/>
      <c r="P10" s="19"/>
      <c r="Q10" s="19"/>
      <c r="R10" s="19"/>
      <c r="S10" s="19"/>
      <c r="T10" s="19"/>
      <c r="U10" s="19"/>
      <c r="V10" s="19"/>
      <c r="W10" s="19"/>
      <c r="X10" s="19"/>
      <c r="Y10" s="19"/>
      <c r="Z10" s="19"/>
    </row>
    <row r="11" spans="1:26" x14ac:dyDescent="0.3">
      <c r="A11" s="19"/>
      <c r="B11" s="19"/>
      <c r="C11" s="19"/>
      <c r="D11" s="19"/>
      <c r="E11" s="19"/>
      <c r="F11" s="19"/>
      <c r="G11" s="19"/>
      <c r="H11" s="19"/>
      <c r="I11" s="19"/>
      <c r="J11" s="19"/>
      <c r="K11" s="19"/>
      <c r="L11" s="19"/>
      <c r="M11" s="19"/>
      <c r="N11" s="19"/>
      <c r="O11" s="19"/>
      <c r="P11" s="19"/>
      <c r="Q11" s="19"/>
      <c r="R11" s="19"/>
      <c r="S11" s="19"/>
      <c r="T11" s="19"/>
      <c r="U11" s="19"/>
      <c r="V11" s="19"/>
      <c r="W11" s="19"/>
      <c r="X11" s="19"/>
      <c r="Y11" s="19"/>
      <c r="Z11" s="19"/>
    </row>
    <row r="12" spans="1:26" x14ac:dyDescent="0.3">
      <c r="A12" s="19"/>
      <c r="B12" s="19"/>
      <c r="C12" s="19"/>
      <c r="D12" s="19"/>
      <c r="E12" s="19"/>
      <c r="F12" s="19"/>
      <c r="G12" s="19"/>
      <c r="H12" s="19"/>
      <c r="I12" s="19"/>
      <c r="J12" s="19"/>
      <c r="K12" s="19"/>
      <c r="L12" s="19"/>
      <c r="M12" s="19"/>
      <c r="N12" s="19"/>
      <c r="O12" s="19"/>
      <c r="P12" s="19"/>
      <c r="Q12" s="19"/>
      <c r="R12" s="19"/>
      <c r="S12" s="19"/>
      <c r="T12" s="19"/>
      <c r="U12" s="19"/>
      <c r="V12" s="19"/>
      <c r="W12" s="19"/>
      <c r="X12" s="19"/>
      <c r="Y12" s="19"/>
      <c r="Z12" s="19"/>
    </row>
    <row r="13" spans="1:26" x14ac:dyDescent="0.3">
      <c r="A13" s="19"/>
      <c r="B13" s="19"/>
      <c r="C13" s="19"/>
      <c r="D13" s="19"/>
      <c r="E13" s="19"/>
      <c r="F13" s="19"/>
      <c r="G13" s="19"/>
      <c r="H13" s="19"/>
      <c r="I13" s="19"/>
      <c r="J13" s="19"/>
      <c r="K13" s="19"/>
      <c r="L13" s="19"/>
      <c r="M13" s="19"/>
      <c r="N13" s="19"/>
      <c r="O13" s="19"/>
      <c r="P13" s="19"/>
      <c r="Q13" s="19"/>
      <c r="R13" s="19"/>
      <c r="S13" s="19"/>
      <c r="T13" s="19"/>
      <c r="U13" s="19"/>
      <c r="V13" s="19"/>
      <c r="W13" s="19"/>
      <c r="X13" s="19"/>
      <c r="Y13" s="19"/>
      <c r="Z13" s="19"/>
    </row>
    <row r="14" spans="1:26" x14ac:dyDescent="0.3">
      <c r="A14" s="19"/>
      <c r="B14" s="19"/>
      <c r="C14" s="19"/>
      <c r="D14" s="19"/>
      <c r="E14" s="19"/>
      <c r="F14" s="19"/>
      <c r="G14" s="19"/>
      <c r="H14" s="19"/>
      <c r="I14" s="19"/>
      <c r="J14" s="19"/>
      <c r="K14" s="19"/>
      <c r="L14" s="19"/>
      <c r="M14" s="19"/>
      <c r="N14" s="19"/>
      <c r="O14" s="19"/>
      <c r="P14" s="19"/>
      <c r="Q14" s="19"/>
      <c r="R14" s="19"/>
      <c r="S14" s="19"/>
      <c r="T14" s="19"/>
      <c r="U14" s="19"/>
      <c r="V14" s="19"/>
      <c r="W14" s="19"/>
      <c r="X14" s="19"/>
      <c r="Y14" s="19"/>
      <c r="Z14" s="19"/>
    </row>
    <row r="15" spans="1:26" x14ac:dyDescent="0.3">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spans="1:26" x14ac:dyDescent="0.3">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row>
    <row r="17" spans="1:26" x14ac:dyDescent="0.3">
      <c r="A17" s="19"/>
      <c r="B17" s="19"/>
      <c r="C17" s="19"/>
      <c r="D17" s="19"/>
      <c r="E17" s="19"/>
      <c r="F17" s="19"/>
      <c r="G17" s="19"/>
      <c r="H17" s="19"/>
      <c r="I17" s="19"/>
      <c r="J17" s="19"/>
      <c r="K17" s="19"/>
      <c r="L17" s="19"/>
      <c r="M17" s="19"/>
      <c r="N17" s="19"/>
      <c r="O17" s="19"/>
      <c r="P17" s="19"/>
      <c r="Q17" s="19"/>
      <c r="R17" s="19"/>
      <c r="S17" s="19"/>
      <c r="T17" s="19"/>
      <c r="U17" s="19"/>
      <c r="V17" s="19"/>
      <c r="W17" s="19"/>
      <c r="X17" s="19"/>
      <c r="Y17" s="19"/>
      <c r="Z17" s="19"/>
    </row>
    <row r="18" spans="1:26" x14ac:dyDescent="0.3">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19"/>
    </row>
    <row r="19" spans="1:26" x14ac:dyDescent="0.3">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row>
    <row r="20" spans="1:26" x14ac:dyDescent="0.3">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row>
    <row r="21" spans="1:26" x14ac:dyDescent="0.3">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row>
    <row r="22" spans="1:26" x14ac:dyDescent="0.3">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row>
    <row r="23" spans="1:26" x14ac:dyDescent="0.3">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row>
    <row r="24" spans="1:26" x14ac:dyDescent="0.3">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spans="1:26" x14ac:dyDescent="0.3">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spans="1:26" x14ac:dyDescent="0.3">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spans="1:26" x14ac:dyDescent="0.3">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spans="1:26" x14ac:dyDescent="0.3">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spans="1:26" x14ac:dyDescent="0.3">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spans="1:26" x14ac:dyDescent="0.3">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spans="1:26" x14ac:dyDescent="0.3">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spans="1:26" x14ac:dyDescent="0.3">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spans="1:26" x14ac:dyDescent="0.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spans="1:26" x14ac:dyDescent="0.3">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spans="1:26" x14ac:dyDescent="0.3">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spans="1:26" x14ac:dyDescent="0.3">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spans="1:26" x14ac:dyDescent="0.3">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spans="1:26" x14ac:dyDescent="0.3">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spans="1:26" x14ac:dyDescent="0.3">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spans="1:26" x14ac:dyDescent="0.3">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spans="1:26" x14ac:dyDescent="0.3">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spans="1:26" x14ac:dyDescent="0.3">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spans="1:26" x14ac:dyDescent="0.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spans="1:26" x14ac:dyDescent="0.3">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spans="1:26" x14ac:dyDescent="0.3">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spans="1:26" x14ac:dyDescent="0.3">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spans="1:26" x14ac:dyDescent="0.3">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spans="1:26" x14ac:dyDescent="0.3">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spans="1:26" x14ac:dyDescent="0.3">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spans="1:26" x14ac:dyDescent="0.3">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spans="1:26" x14ac:dyDescent="0.3">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spans="1:26" x14ac:dyDescent="0.3">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spans="1:26" x14ac:dyDescent="0.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spans="1:26" x14ac:dyDescent="0.3">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spans="1:26" x14ac:dyDescent="0.3">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spans="1:26" x14ac:dyDescent="0.3">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spans="1:26" x14ac:dyDescent="0.3">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spans="1:26" x14ac:dyDescent="0.3">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spans="1:26" x14ac:dyDescent="0.3">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spans="1:26" x14ac:dyDescent="0.3">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spans="1:26" x14ac:dyDescent="0.3">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spans="1:26" x14ac:dyDescent="0.3">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spans="1:26" x14ac:dyDescent="0.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spans="1:26" x14ac:dyDescent="0.3">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spans="1:26" x14ac:dyDescent="0.3">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spans="1:26" x14ac:dyDescent="0.3">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spans="1:26" x14ac:dyDescent="0.3">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spans="1:26" x14ac:dyDescent="0.3">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spans="1:26" x14ac:dyDescent="0.3">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spans="1:26" x14ac:dyDescent="0.3">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spans="1:26" x14ac:dyDescent="0.3">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spans="1:26" x14ac:dyDescent="0.3">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spans="1:26" x14ac:dyDescent="0.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spans="1:26" x14ac:dyDescent="0.3">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spans="1:26" x14ac:dyDescent="0.3">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spans="1:26" x14ac:dyDescent="0.3">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spans="1:26" x14ac:dyDescent="0.3">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spans="1:26" x14ac:dyDescent="0.3">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spans="1:26" x14ac:dyDescent="0.3">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spans="1:26" x14ac:dyDescent="0.3">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spans="1:26" x14ac:dyDescent="0.3">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1:26" x14ac:dyDescent="0.3">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x14ac:dyDescent="0.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1:26" x14ac:dyDescent="0.3">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spans="1:26" x14ac:dyDescent="0.3">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spans="1:26" x14ac:dyDescent="0.3">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spans="1:26" x14ac:dyDescent="0.3">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spans="1:26" x14ac:dyDescent="0.3">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spans="1:26" x14ac:dyDescent="0.3">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spans="1:26" x14ac:dyDescent="0.3">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spans="1:26" x14ac:dyDescent="0.3">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spans="1:26" x14ac:dyDescent="0.3">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1:26" x14ac:dyDescent="0.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spans="1:26" x14ac:dyDescent="0.3">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spans="1:26" x14ac:dyDescent="0.3">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spans="1:26" x14ac:dyDescent="0.3">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spans="1:26" x14ac:dyDescent="0.3">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spans="1:26" x14ac:dyDescent="0.3">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1:26" x14ac:dyDescent="0.3">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x14ac:dyDescent="0.3">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x14ac:dyDescent="0.3">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x14ac:dyDescent="0.3">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x14ac:dyDescent="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x14ac:dyDescent="0.3">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x14ac:dyDescent="0.3">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x14ac:dyDescent="0.3">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x14ac:dyDescent="0.3">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x14ac:dyDescent="0.3">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x14ac:dyDescent="0.3">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x14ac:dyDescent="0.3">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x14ac:dyDescent="0.3">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x14ac:dyDescent="0.3">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x14ac:dyDescent="0.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x14ac:dyDescent="0.3">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x14ac:dyDescent="0.3">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x14ac:dyDescent="0.3">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x14ac:dyDescent="0.3">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x14ac:dyDescent="0.3">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x14ac:dyDescent="0.3">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x14ac:dyDescent="0.3">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x14ac:dyDescent="0.3">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x14ac:dyDescent="0.3">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x14ac:dyDescent="0.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x14ac:dyDescent="0.3">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x14ac:dyDescent="0.3">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x14ac:dyDescent="0.3">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x14ac:dyDescent="0.3">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x14ac:dyDescent="0.3">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x14ac:dyDescent="0.3">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x14ac:dyDescent="0.3">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x14ac:dyDescent="0.3">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x14ac:dyDescent="0.3">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x14ac:dyDescent="0.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x14ac:dyDescent="0.3">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x14ac:dyDescent="0.3">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x14ac:dyDescent="0.3">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x14ac:dyDescent="0.3">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x14ac:dyDescent="0.3">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x14ac:dyDescent="0.3">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x14ac:dyDescent="0.3">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x14ac:dyDescent="0.3">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x14ac:dyDescent="0.3">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x14ac:dyDescent="0.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x14ac:dyDescent="0.3">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x14ac:dyDescent="0.3">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x14ac:dyDescent="0.3">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x14ac:dyDescent="0.3">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x14ac:dyDescent="0.3">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x14ac:dyDescent="0.3">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x14ac:dyDescent="0.3">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x14ac:dyDescent="0.3">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x14ac:dyDescent="0.3">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x14ac:dyDescent="0.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x14ac:dyDescent="0.3">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x14ac:dyDescent="0.3">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x14ac:dyDescent="0.3">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x14ac:dyDescent="0.3">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x14ac:dyDescent="0.3">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x14ac:dyDescent="0.3">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x14ac:dyDescent="0.3">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x14ac:dyDescent="0.3">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x14ac:dyDescent="0.3">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x14ac:dyDescent="0.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x14ac:dyDescent="0.3">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x14ac:dyDescent="0.3">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x14ac:dyDescent="0.3">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x14ac:dyDescent="0.3">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x14ac:dyDescent="0.3">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x14ac:dyDescent="0.3">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x14ac:dyDescent="0.3">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x14ac:dyDescent="0.3">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x14ac:dyDescent="0.3">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x14ac:dyDescent="0.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x14ac:dyDescent="0.3">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x14ac:dyDescent="0.3">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x14ac:dyDescent="0.3">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x14ac:dyDescent="0.3">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x14ac:dyDescent="0.3">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x14ac:dyDescent="0.3">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x14ac:dyDescent="0.3">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x14ac:dyDescent="0.3">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x14ac:dyDescent="0.3">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x14ac:dyDescent="0.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x14ac:dyDescent="0.3">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x14ac:dyDescent="0.3">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x14ac:dyDescent="0.3">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x14ac:dyDescent="0.3">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x14ac:dyDescent="0.3">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x14ac:dyDescent="0.3">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x14ac:dyDescent="0.3">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x14ac:dyDescent="0.3">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x14ac:dyDescent="0.3">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x14ac:dyDescent="0.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x14ac:dyDescent="0.3">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x14ac:dyDescent="0.3">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x14ac:dyDescent="0.3">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x14ac:dyDescent="0.3">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x14ac:dyDescent="0.3">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x14ac:dyDescent="0.3">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x14ac:dyDescent="0.3">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x14ac:dyDescent="0.3">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x14ac:dyDescent="0.3">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x14ac:dyDescent="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x14ac:dyDescent="0.3">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x14ac:dyDescent="0.3">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x14ac:dyDescent="0.3">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x14ac:dyDescent="0.3">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x14ac:dyDescent="0.3">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x14ac:dyDescent="0.3">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x14ac:dyDescent="0.3">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x14ac:dyDescent="0.3">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x14ac:dyDescent="0.3">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x14ac:dyDescent="0.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x14ac:dyDescent="0.3">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x14ac:dyDescent="0.3">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x14ac:dyDescent="0.3">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x14ac:dyDescent="0.3">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x14ac:dyDescent="0.3">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x14ac:dyDescent="0.3">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x14ac:dyDescent="0.3">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x14ac:dyDescent="0.3">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spans="1:26" x14ac:dyDescent="0.3">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spans="1:26" x14ac:dyDescent="0.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spans="1:26" x14ac:dyDescent="0.3">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spans="1:26" x14ac:dyDescent="0.3">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spans="1:26" x14ac:dyDescent="0.3">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spans="1:26" x14ac:dyDescent="0.3">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spans="1:26" x14ac:dyDescent="0.3">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spans="1:26" x14ac:dyDescent="0.3">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spans="1:26" x14ac:dyDescent="0.3">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spans="1:26" x14ac:dyDescent="0.3">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spans="1:26" x14ac:dyDescent="0.3">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spans="1:26" x14ac:dyDescent="0.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spans="1:26" x14ac:dyDescent="0.3">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spans="1:26" x14ac:dyDescent="0.3">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spans="1:26" x14ac:dyDescent="0.3">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spans="1:26" x14ac:dyDescent="0.3">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spans="1:26" x14ac:dyDescent="0.3">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spans="1:26" x14ac:dyDescent="0.3">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spans="1:26" x14ac:dyDescent="0.3">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spans="1:26" x14ac:dyDescent="0.3">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spans="1:26" x14ac:dyDescent="0.3">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spans="1:26" x14ac:dyDescent="0.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spans="1:26" x14ac:dyDescent="0.3">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spans="1:26" x14ac:dyDescent="0.3">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spans="1:26" x14ac:dyDescent="0.3">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spans="1:26" x14ac:dyDescent="0.3">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spans="1:26" x14ac:dyDescent="0.3">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spans="1:26" x14ac:dyDescent="0.3">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spans="1:26" x14ac:dyDescent="0.3">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spans="1:26" x14ac:dyDescent="0.3">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spans="1:26" x14ac:dyDescent="0.3">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spans="1:26" x14ac:dyDescent="0.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spans="1:26" x14ac:dyDescent="0.3">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spans="1:26" x14ac:dyDescent="0.3">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spans="1:26" x14ac:dyDescent="0.3">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spans="1:26" x14ac:dyDescent="0.3">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spans="1:26" x14ac:dyDescent="0.3">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spans="1:26" x14ac:dyDescent="0.3">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spans="1:26" x14ac:dyDescent="0.3">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spans="1:26" x14ac:dyDescent="0.3">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spans="1:26" x14ac:dyDescent="0.3">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spans="1:26" x14ac:dyDescent="0.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spans="1:26" x14ac:dyDescent="0.3">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spans="1:26" x14ac:dyDescent="0.3">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spans="1:26" x14ac:dyDescent="0.3">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spans="1:26" x14ac:dyDescent="0.3">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spans="1:26" x14ac:dyDescent="0.3">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spans="1:26" x14ac:dyDescent="0.3">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spans="1:26" x14ac:dyDescent="0.3">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spans="1:26" x14ac:dyDescent="0.3">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spans="1:26" x14ac:dyDescent="0.3">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spans="1:26" x14ac:dyDescent="0.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spans="1:26" x14ac:dyDescent="0.3">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spans="1:26" x14ac:dyDescent="0.3">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spans="1:26" x14ac:dyDescent="0.3">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spans="1:26" x14ac:dyDescent="0.3">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spans="1:26" x14ac:dyDescent="0.3">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spans="1:26" x14ac:dyDescent="0.3">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spans="1:26" x14ac:dyDescent="0.3">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spans="1:26" x14ac:dyDescent="0.3">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spans="1:26" x14ac:dyDescent="0.3">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spans="1:26" x14ac:dyDescent="0.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spans="1:26" x14ac:dyDescent="0.3">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spans="1:26" x14ac:dyDescent="0.3">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spans="1:26" x14ac:dyDescent="0.3">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spans="1:26" x14ac:dyDescent="0.3">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spans="1:26" x14ac:dyDescent="0.3">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spans="1:26" x14ac:dyDescent="0.3">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spans="1:26" x14ac:dyDescent="0.3">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spans="1:26" x14ac:dyDescent="0.3">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spans="1:26" x14ac:dyDescent="0.3">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spans="1:26" x14ac:dyDescent="0.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spans="1:26" x14ac:dyDescent="0.3">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spans="1:26" x14ac:dyDescent="0.3">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spans="1:26" x14ac:dyDescent="0.3">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spans="1:26" x14ac:dyDescent="0.3">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spans="1:26" x14ac:dyDescent="0.3">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spans="1:26" x14ac:dyDescent="0.3">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spans="1:26" x14ac:dyDescent="0.3">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spans="1:26" x14ac:dyDescent="0.3">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spans="1:26" x14ac:dyDescent="0.3">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spans="1:26" x14ac:dyDescent="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spans="1:26" x14ac:dyDescent="0.3">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spans="1:26" x14ac:dyDescent="0.3">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spans="1:26" x14ac:dyDescent="0.3">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spans="1:26" x14ac:dyDescent="0.3">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spans="1:26" x14ac:dyDescent="0.3">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spans="1:26" x14ac:dyDescent="0.3">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spans="1:26" x14ac:dyDescent="0.3">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spans="1:26" x14ac:dyDescent="0.3">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spans="1:26" x14ac:dyDescent="0.3">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spans="1:26" x14ac:dyDescent="0.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spans="1:26" x14ac:dyDescent="0.3">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spans="1:26" x14ac:dyDescent="0.3">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spans="1:26" x14ac:dyDescent="0.3">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spans="1:26" x14ac:dyDescent="0.3">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spans="1:26" x14ac:dyDescent="0.3">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spans="1:26" x14ac:dyDescent="0.3">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spans="1:26" x14ac:dyDescent="0.3">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spans="1:26" x14ac:dyDescent="0.3">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spans="1:26" x14ac:dyDescent="0.3">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spans="1:26" x14ac:dyDescent="0.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spans="1:26" x14ac:dyDescent="0.3">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spans="1:26" x14ac:dyDescent="0.3">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spans="1:26" x14ac:dyDescent="0.3">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spans="1:26" x14ac:dyDescent="0.3">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spans="1:26" x14ac:dyDescent="0.3">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spans="1:26" x14ac:dyDescent="0.3">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spans="1:26" x14ac:dyDescent="0.3">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spans="1:26" x14ac:dyDescent="0.3">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spans="1:26" x14ac:dyDescent="0.3">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spans="1:26" x14ac:dyDescent="0.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spans="1:26" x14ac:dyDescent="0.3">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spans="1:26" x14ac:dyDescent="0.3">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spans="1:26" x14ac:dyDescent="0.3">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spans="1:26" x14ac:dyDescent="0.3">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spans="1:26" x14ac:dyDescent="0.3">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spans="1:26" x14ac:dyDescent="0.3">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spans="1:26" x14ac:dyDescent="0.3">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spans="1:26" x14ac:dyDescent="0.3">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spans="1:26" x14ac:dyDescent="0.3">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spans="1:26" x14ac:dyDescent="0.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spans="1:26" x14ac:dyDescent="0.3">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spans="1:26" x14ac:dyDescent="0.3">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spans="1:26" x14ac:dyDescent="0.3">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spans="1:26" x14ac:dyDescent="0.3">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spans="1:26" x14ac:dyDescent="0.3">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spans="1:26" x14ac:dyDescent="0.3">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spans="1:26" x14ac:dyDescent="0.3">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spans="1:26" x14ac:dyDescent="0.3">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spans="1:26" x14ac:dyDescent="0.3">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spans="1:26" x14ac:dyDescent="0.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spans="1:26" x14ac:dyDescent="0.3">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spans="1:26" x14ac:dyDescent="0.3">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spans="1:26" x14ac:dyDescent="0.3">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spans="1:26" x14ac:dyDescent="0.3">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spans="1:26" x14ac:dyDescent="0.3">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spans="1:26" x14ac:dyDescent="0.3">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spans="1:26" x14ac:dyDescent="0.3">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spans="1:26" x14ac:dyDescent="0.3">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spans="1:26" x14ac:dyDescent="0.3">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spans="1:26" x14ac:dyDescent="0.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spans="1:26" x14ac:dyDescent="0.3">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spans="1:26" x14ac:dyDescent="0.3">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spans="1:26" x14ac:dyDescent="0.3">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spans="1:26" x14ac:dyDescent="0.3">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spans="1:26" x14ac:dyDescent="0.3">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spans="1:26" x14ac:dyDescent="0.3">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spans="1:26" x14ac:dyDescent="0.3">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spans="1:26" x14ac:dyDescent="0.3">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spans="1:26" x14ac:dyDescent="0.3">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spans="1:26" x14ac:dyDescent="0.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spans="1:26" x14ac:dyDescent="0.3">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spans="1:26" x14ac:dyDescent="0.3">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spans="1:26" x14ac:dyDescent="0.3">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spans="1:26" x14ac:dyDescent="0.3">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spans="1:26" x14ac:dyDescent="0.3">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spans="1:26" x14ac:dyDescent="0.3">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spans="1:26" x14ac:dyDescent="0.3">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spans="1:26" x14ac:dyDescent="0.3">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spans="1:26" x14ac:dyDescent="0.3">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spans="1:26" x14ac:dyDescent="0.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spans="1:26" x14ac:dyDescent="0.3">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spans="1:26" x14ac:dyDescent="0.3">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spans="1:26" x14ac:dyDescent="0.3">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spans="1:26" x14ac:dyDescent="0.3">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spans="1:26" x14ac:dyDescent="0.3">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spans="1:26" x14ac:dyDescent="0.3">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spans="1:26" x14ac:dyDescent="0.3">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spans="1:26" x14ac:dyDescent="0.3">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spans="1:26" x14ac:dyDescent="0.3">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spans="1:26" x14ac:dyDescent="0.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spans="1:26" x14ac:dyDescent="0.3">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spans="1:26" x14ac:dyDescent="0.3">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spans="1:26" x14ac:dyDescent="0.3">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spans="1:26" x14ac:dyDescent="0.3">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spans="1:26" x14ac:dyDescent="0.3">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spans="1:26" x14ac:dyDescent="0.3">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spans="1:26" x14ac:dyDescent="0.3">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spans="1:26" x14ac:dyDescent="0.3">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spans="1:26" x14ac:dyDescent="0.3">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spans="1:26" x14ac:dyDescent="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spans="1:26" x14ac:dyDescent="0.3">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spans="1:26" x14ac:dyDescent="0.3">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spans="1:26" x14ac:dyDescent="0.3">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spans="1:26" x14ac:dyDescent="0.3">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spans="1:26" x14ac:dyDescent="0.3">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spans="1:26" x14ac:dyDescent="0.3">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spans="1:26" x14ac:dyDescent="0.3">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spans="1:26" x14ac:dyDescent="0.3">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spans="1:26" x14ac:dyDescent="0.3">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spans="1:26" x14ac:dyDescent="0.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spans="1:26" x14ac:dyDescent="0.3">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spans="1:26" x14ac:dyDescent="0.3">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spans="1:26" x14ac:dyDescent="0.3">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spans="1:26" x14ac:dyDescent="0.3">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spans="1:26" x14ac:dyDescent="0.3">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spans="1:26" x14ac:dyDescent="0.3">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spans="1:26" x14ac:dyDescent="0.3">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spans="1:26" x14ac:dyDescent="0.3">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spans="1:26" x14ac:dyDescent="0.3">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spans="1:26" x14ac:dyDescent="0.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spans="1:26" x14ac:dyDescent="0.3">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spans="1:26" x14ac:dyDescent="0.3">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spans="1:26" x14ac:dyDescent="0.3">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spans="1:26" x14ac:dyDescent="0.3">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spans="1:26" x14ac:dyDescent="0.3">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spans="1:26" x14ac:dyDescent="0.3">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spans="1:26" x14ac:dyDescent="0.3">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spans="1:26" x14ac:dyDescent="0.3">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spans="1:26" x14ac:dyDescent="0.3">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spans="1:26" x14ac:dyDescent="0.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spans="1:26" x14ac:dyDescent="0.3">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spans="1:26" x14ac:dyDescent="0.3">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spans="1:26" x14ac:dyDescent="0.3">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spans="1:26" x14ac:dyDescent="0.3">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spans="1:26" x14ac:dyDescent="0.3">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spans="1:26" x14ac:dyDescent="0.3">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spans="1:26" x14ac:dyDescent="0.3">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spans="1:26" x14ac:dyDescent="0.3">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spans="1:26" x14ac:dyDescent="0.3">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spans="1:26" x14ac:dyDescent="0.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spans="1:26" x14ac:dyDescent="0.3">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spans="1:26" x14ac:dyDescent="0.3">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spans="1:26" x14ac:dyDescent="0.3">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spans="1:26" x14ac:dyDescent="0.3">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spans="1:26" x14ac:dyDescent="0.3">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spans="1:26" x14ac:dyDescent="0.3">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spans="1:26" x14ac:dyDescent="0.3">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spans="1:26" x14ac:dyDescent="0.3">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spans="1:26" x14ac:dyDescent="0.3">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spans="1:26" x14ac:dyDescent="0.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spans="1:26" x14ac:dyDescent="0.3">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spans="1:26" x14ac:dyDescent="0.3">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spans="1:26" x14ac:dyDescent="0.3">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spans="1:26" x14ac:dyDescent="0.3">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spans="1:26" x14ac:dyDescent="0.3">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spans="1:26" x14ac:dyDescent="0.3">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spans="1:26" x14ac:dyDescent="0.3">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spans="1:26" x14ac:dyDescent="0.3">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spans="1:26" x14ac:dyDescent="0.3">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spans="1:26" x14ac:dyDescent="0.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spans="1:26" x14ac:dyDescent="0.3">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spans="1:26" x14ac:dyDescent="0.3">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spans="1:26" x14ac:dyDescent="0.3">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spans="1:26" x14ac:dyDescent="0.3">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spans="1:26" x14ac:dyDescent="0.3">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spans="1:26" x14ac:dyDescent="0.3">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spans="1:26" x14ac:dyDescent="0.3">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spans="1:26" x14ac:dyDescent="0.3">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spans="1:26" x14ac:dyDescent="0.3">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spans="1:26" x14ac:dyDescent="0.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spans="1:26" x14ac:dyDescent="0.3">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spans="1:26" x14ac:dyDescent="0.3">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spans="1:26" x14ac:dyDescent="0.3">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spans="1:26" x14ac:dyDescent="0.3">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spans="1:26" x14ac:dyDescent="0.3">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spans="1:26" x14ac:dyDescent="0.3">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spans="1:26" x14ac:dyDescent="0.3">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spans="1:26" x14ac:dyDescent="0.3">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spans="1:26" x14ac:dyDescent="0.3">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spans="1:26" x14ac:dyDescent="0.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spans="1:26" x14ac:dyDescent="0.3">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spans="1:26" x14ac:dyDescent="0.3">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spans="1:26" x14ac:dyDescent="0.3">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spans="1:26" x14ac:dyDescent="0.3">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spans="1:26" x14ac:dyDescent="0.3">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spans="1:26" x14ac:dyDescent="0.3">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spans="1:26" x14ac:dyDescent="0.3">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spans="1:26" x14ac:dyDescent="0.3">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spans="1:26" x14ac:dyDescent="0.3">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spans="1:26" x14ac:dyDescent="0.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spans="1:26" x14ac:dyDescent="0.3">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spans="1:26" x14ac:dyDescent="0.3">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spans="1:26" x14ac:dyDescent="0.3">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spans="1:26" x14ac:dyDescent="0.3">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spans="1:26" x14ac:dyDescent="0.3">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spans="1:26" x14ac:dyDescent="0.3">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spans="1:26" x14ac:dyDescent="0.3">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spans="1:26" x14ac:dyDescent="0.3">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spans="1:26" x14ac:dyDescent="0.3">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spans="1:26" x14ac:dyDescent="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spans="1:26" x14ac:dyDescent="0.3">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spans="1:26" x14ac:dyDescent="0.3">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spans="1:26" x14ac:dyDescent="0.3">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spans="1:26" x14ac:dyDescent="0.3">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spans="1:26" x14ac:dyDescent="0.3">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spans="1:26" x14ac:dyDescent="0.3">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spans="1:26" x14ac:dyDescent="0.3">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spans="1:26" x14ac:dyDescent="0.3">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spans="1:26" x14ac:dyDescent="0.3">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spans="1:26" x14ac:dyDescent="0.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spans="1:26" x14ac:dyDescent="0.3">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spans="1:26" x14ac:dyDescent="0.3">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spans="1:26" x14ac:dyDescent="0.3">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spans="1:26" x14ac:dyDescent="0.3">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spans="1:26" x14ac:dyDescent="0.3">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spans="1:26" x14ac:dyDescent="0.3">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spans="1:26" x14ac:dyDescent="0.3">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spans="1:26" x14ac:dyDescent="0.3">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spans="1:26" x14ac:dyDescent="0.3">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spans="1:26" x14ac:dyDescent="0.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spans="1:26" x14ac:dyDescent="0.3">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spans="1:26" x14ac:dyDescent="0.3">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spans="1:26" x14ac:dyDescent="0.3">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spans="1:26" x14ac:dyDescent="0.3">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spans="1:26" x14ac:dyDescent="0.3">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spans="1:26" x14ac:dyDescent="0.3">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spans="1:26" x14ac:dyDescent="0.3">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spans="1:26" x14ac:dyDescent="0.3">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spans="1:26" x14ac:dyDescent="0.3">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spans="1:26" x14ac:dyDescent="0.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spans="1:26" x14ac:dyDescent="0.3">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spans="1:26" x14ac:dyDescent="0.3">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spans="1:26" x14ac:dyDescent="0.3">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spans="1:26" x14ac:dyDescent="0.3">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spans="1:26" x14ac:dyDescent="0.3">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spans="1:26" x14ac:dyDescent="0.3">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spans="1:26" x14ac:dyDescent="0.3">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spans="1:26" x14ac:dyDescent="0.3">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spans="1:26" x14ac:dyDescent="0.3">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spans="1:26" x14ac:dyDescent="0.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spans="1:26" x14ac:dyDescent="0.3">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spans="1:26" x14ac:dyDescent="0.3">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spans="1:26" x14ac:dyDescent="0.3">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spans="1:26" x14ac:dyDescent="0.3">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spans="1:26" x14ac:dyDescent="0.3">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spans="1:26" x14ac:dyDescent="0.3">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spans="1:26" x14ac:dyDescent="0.3">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spans="1:26" x14ac:dyDescent="0.3">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spans="1:26" x14ac:dyDescent="0.3">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spans="1:26" x14ac:dyDescent="0.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spans="1:26" x14ac:dyDescent="0.3">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spans="1:26" x14ac:dyDescent="0.3">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spans="1:26" x14ac:dyDescent="0.3">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spans="1:26" x14ac:dyDescent="0.3">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spans="1:26" x14ac:dyDescent="0.3">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spans="1:26" x14ac:dyDescent="0.3">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spans="1:26" x14ac:dyDescent="0.3">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spans="1:26" x14ac:dyDescent="0.3">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spans="1:26" x14ac:dyDescent="0.3">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spans="1:26" x14ac:dyDescent="0.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spans="1:26" x14ac:dyDescent="0.3">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spans="1:26" x14ac:dyDescent="0.3">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spans="1:26" x14ac:dyDescent="0.3">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spans="1:26" x14ac:dyDescent="0.3">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spans="1:26" x14ac:dyDescent="0.3">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spans="1:26" x14ac:dyDescent="0.3">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spans="1:26" x14ac:dyDescent="0.3">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spans="1:26" x14ac:dyDescent="0.3">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spans="1:26" x14ac:dyDescent="0.3">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spans="1:26" x14ac:dyDescent="0.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spans="1:26" x14ac:dyDescent="0.3">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spans="1:26" x14ac:dyDescent="0.3">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spans="1:26" x14ac:dyDescent="0.3">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spans="1:26" x14ac:dyDescent="0.3">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spans="1:26" x14ac:dyDescent="0.3">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spans="1:26" x14ac:dyDescent="0.3">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spans="1:26" x14ac:dyDescent="0.3">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spans="1:26" x14ac:dyDescent="0.3">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spans="1:26" x14ac:dyDescent="0.3">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spans="1:26" x14ac:dyDescent="0.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spans="1:26" x14ac:dyDescent="0.3">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spans="1:26" x14ac:dyDescent="0.3">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spans="1:26" x14ac:dyDescent="0.3">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spans="1:26" x14ac:dyDescent="0.3">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spans="1:26" x14ac:dyDescent="0.3">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spans="1:26" x14ac:dyDescent="0.3">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spans="1:26" x14ac:dyDescent="0.3">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spans="1:26" x14ac:dyDescent="0.3">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spans="1:26" x14ac:dyDescent="0.3">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spans="1:26" x14ac:dyDescent="0.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spans="1:26" x14ac:dyDescent="0.3">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spans="1:26" x14ac:dyDescent="0.3">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spans="1:26" x14ac:dyDescent="0.3">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spans="1:26" x14ac:dyDescent="0.3">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spans="1:26" x14ac:dyDescent="0.3">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spans="1:26" x14ac:dyDescent="0.3">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spans="1:26" x14ac:dyDescent="0.3">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spans="1:26" x14ac:dyDescent="0.3">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spans="1:26" x14ac:dyDescent="0.3">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spans="1:26" x14ac:dyDescent="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spans="1:26" x14ac:dyDescent="0.3">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spans="1:26" x14ac:dyDescent="0.3">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spans="1:26" x14ac:dyDescent="0.3">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spans="1:26" x14ac:dyDescent="0.3">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spans="1:26" x14ac:dyDescent="0.3">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spans="1:26" x14ac:dyDescent="0.3">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spans="1:26" x14ac:dyDescent="0.3">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spans="1:26" x14ac:dyDescent="0.3">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spans="1:26" x14ac:dyDescent="0.3">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spans="1:26" x14ac:dyDescent="0.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spans="1:26" x14ac:dyDescent="0.3">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spans="1:26" x14ac:dyDescent="0.3">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spans="1:26" x14ac:dyDescent="0.3">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spans="1:26" x14ac:dyDescent="0.3">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spans="1:26" x14ac:dyDescent="0.3">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spans="1:26" x14ac:dyDescent="0.3">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spans="1:26" x14ac:dyDescent="0.3">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spans="1:26" x14ac:dyDescent="0.3">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spans="1:26" x14ac:dyDescent="0.3">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spans="1:26" x14ac:dyDescent="0.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spans="1:26" x14ac:dyDescent="0.3">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spans="1:26" x14ac:dyDescent="0.3">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spans="1:26" x14ac:dyDescent="0.3">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spans="1:26" x14ac:dyDescent="0.3">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spans="1:26" x14ac:dyDescent="0.3">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spans="1:26" x14ac:dyDescent="0.3">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spans="1:26" x14ac:dyDescent="0.3">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spans="1:26" x14ac:dyDescent="0.3">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spans="1:26" x14ac:dyDescent="0.3">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spans="1:26" x14ac:dyDescent="0.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spans="1:26" x14ac:dyDescent="0.3">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spans="1:26" x14ac:dyDescent="0.3">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spans="1:26" x14ac:dyDescent="0.3">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spans="1:26" x14ac:dyDescent="0.3">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spans="1:26" x14ac:dyDescent="0.3">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spans="1:26" x14ac:dyDescent="0.3">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spans="1:26" x14ac:dyDescent="0.3">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spans="1:26" x14ac:dyDescent="0.3">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spans="1:26" x14ac:dyDescent="0.3">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spans="1:26" x14ac:dyDescent="0.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spans="1:26" x14ac:dyDescent="0.3">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spans="1:26" x14ac:dyDescent="0.3">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spans="1:26" x14ac:dyDescent="0.3">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spans="1:26" x14ac:dyDescent="0.3">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spans="1:26" x14ac:dyDescent="0.3">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spans="1:26" x14ac:dyDescent="0.3">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spans="1:26" x14ac:dyDescent="0.3">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spans="1:26" x14ac:dyDescent="0.3">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spans="1:26" x14ac:dyDescent="0.3">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spans="1:26" x14ac:dyDescent="0.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spans="1:26" x14ac:dyDescent="0.3">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spans="1:26" x14ac:dyDescent="0.3">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spans="1:26" x14ac:dyDescent="0.3">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spans="1:26" x14ac:dyDescent="0.3">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spans="1:26" x14ac:dyDescent="0.3">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spans="1:26" x14ac:dyDescent="0.3">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spans="1:26" x14ac:dyDescent="0.3">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spans="1:26" x14ac:dyDescent="0.3">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spans="1:26" x14ac:dyDescent="0.3">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spans="1:26" x14ac:dyDescent="0.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spans="1:26" x14ac:dyDescent="0.3">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spans="1:26" x14ac:dyDescent="0.3">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spans="1:26" x14ac:dyDescent="0.3">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spans="1:26" x14ac:dyDescent="0.3">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spans="1:26" x14ac:dyDescent="0.3">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spans="1:26" x14ac:dyDescent="0.3">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spans="1:26" x14ac:dyDescent="0.3">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spans="1:26" x14ac:dyDescent="0.3">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spans="1:26" x14ac:dyDescent="0.3">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spans="1:26" x14ac:dyDescent="0.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spans="1:26" x14ac:dyDescent="0.3">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spans="1:26" x14ac:dyDescent="0.3">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spans="1:26" x14ac:dyDescent="0.3">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spans="1:26" x14ac:dyDescent="0.3">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spans="1:26" x14ac:dyDescent="0.3">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spans="1:26" x14ac:dyDescent="0.3">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spans="1:26" x14ac:dyDescent="0.3">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spans="1:26" x14ac:dyDescent="0.3">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spans="1:26" x14ac:dyDescent="0.3">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spans="1:26" x14ac:dyDescent="0.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spans="1:26" x14ac:dyDescent="0.3">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spans="1:26" x14ac:dyDescent="0.3">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spans="1:26" x14ac:dyDescent="0.3">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spans="1:26" x14ac:dyDescent="0.3">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spans="1:26" x14ac:dyDescent="0.3">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spans="1:26" x14ac:dyDescent="0.3">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spans="1:26" x14ac:dyDescent="0.3">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spans="1:26" x14ac:dyDescent="0.3">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spans="1:26" x14ac:dyDescent="0.3">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spans="1:26" x14ac:dyDescent="0.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spans="1:26" x14ac:dyDescent="0.3">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spans="1:26" x14ac:dyDescent="0.3">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spans="1:26" x14ac:dyDescent="0.3">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spans="1:26" x14ac:dyDescent="0.3">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spans="1:26" x14ac:dyDescent="0.3">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spans="1:26" x14ac:dyDescent="0.3">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spans="1:26" x14ac:dyDescent="0.3">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spans="1:26" x14ac:dyDescent="0.3">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spans="1:26" x14ac:dyDescent="0.3">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spans="1:26" x14ac:dyDescent="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spans="1:26" x14ac:dyDescent="0.3">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spans="1:26" x14ac:dyDescent="0.3">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spans="1:26" x14ac:dyDescent="0.3">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spans="1:26" x14ac:dyDescent="0.3">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spans="1:26" x14ac:dyDescent="0.3">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spans="1:26" x14ac:dyDescent="0.3">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spans="1:26" x14ac:dyDescent="0.3">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spans="1:26" x14ac:dyDescent="0.3">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spans="1:26" x14ac:dyDescent="0.3">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spans="1:26" x14ac:dyDescent="0.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spans="1:26" x14ac:dyDescent="0.3">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spans="1:26" x14ac:dyDescent="0.3">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spans="1:26" x14ac:dyDescent="0.3">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spans="1:26" x14ac:dyDescent="0.3">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spans="1:26" x14ac:dyDescent="0.3">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spans="1:26" x14ac:dyDescent="0.3">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spans="1:26" x14ac:dyDescent="0.3">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spans="1:26" x14ac:dyDescent="0.3">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spans="1:26" x14ac:dyDescent="0.3">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spans="1:26" x14ac:dyDescent="0.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spans="1:26" x14ac:dyDescent="0.3">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spans="1:26" x14ac:dyDescent="0.3">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spans="1:26" x14ac:dyDescent="0.3">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spans="1:26" x14ac:dyDescent="0.3">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spans="1:26" x14ac:dyDescent="0.3">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spans="1:26" x14ac:dyDescent="0.3">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spans="1:26" x14ac:dyDescent="0.3">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spans="1:26" x14ac:dyDescent="0.3">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spans="1:26" x14ac:dyDescent="0.3">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spans="1:26" x14ac:dyDescent="0.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spans="1:26" x14ac:dyDescent="0.3">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spans="1:26" x14ac:dyDescent="0.3">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spans="1:26" x14ac:dyDescent="0.3">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spans="1:26" x14ac:dyDescent="0.3">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spans="1:26" x14ac:dyDescent="0.3">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spans="1:26" x14ac:dyDescent="0.3">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spans="1:26" x14ac:dyDescent="0.3">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spans="1:26" x14ac:dyDescent="0.3">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spans="1:26" x14ac:dyDescent="0.3">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spans="1:26" x14ac:dyDescent="0.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spans="1:26" x14ac:dyDescent="0.3">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spans="1:26" x14ac:dyDescent="0.3">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spans="1:26" x14ac:dyDescent="0.3">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spans="1:26" x14ac:dyDescent="0.3">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spans="1:26" x14ac:dyDescent="0.3">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spans="1:26" x14ac:dyDescent="0.3">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spans="1:26" x14ac:dyDescent="0.3">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spans="1:26" x14ac:dyDescent="0.3">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spans="1:26" x14ac:dyDescent="0.3">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spans="1:26" x14ac:dyDescent="0.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spans="1:26" x14ac:dyDescent="0.3">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spans="1:26" x14ac:dyDescent="0.3">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spans="1:26" x14ac:dyDescent="0.3">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spans="1:26" x14ac:dyDescent="0.3">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spans="1:26" x14ac:dyDescent="0.3">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spans="1:26" x14ac:dyDescent="0.3">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spans="1:26" x14ac:dyDescent="0.3">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spans="1:26" x14ac:dyDescent="0.3">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spans="1:26" x14ac:dyDescent="0.3">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spans="1:26" x14ac:dyDescent="0.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spans="1:26" x14ac:dyDescent="0.3">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spans="1:26" x14ac:dyDescent="0.3">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spans="1:26" x14ac:dyDescent="0.3">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spans="1:26" x14ac:dyDescent="0.3">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spans="1:26" x14ac:dyDescent="0.3">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spans="1:26" x14ac:dyDescent="0.3">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spans="1:26" x14ac:dyDescent="0.3">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spans="1:26" x14ac:dyDescent="0.3">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spans="1:26" x14ac:dyDescent="0.3">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spans="1:26" x14ac:dyDescent="0.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spans="1:26" x14ac:dyDescent="0.3">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spans="1:26" x14ac:dyDescent="0.3">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spans="1:26" x14ac:dyDescent="0.3">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spans="1:26" x14ac:dyDescent="0.3">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spans="1:26" x14ac:dyDescent="0.3">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spans="1:26" x14ac:dyDescent="0.3">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spans="1:26" x14ac:dyDescent="0.3">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spans="1:26" x14ac:dyDescent="0.3">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spans="1:26" x14ac:dyDescent="0.3">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spans="1:26" x14ac:dyDescent="0.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spans="1:26" x14ac:dyDescent="0.3">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spans="1:26" x14ac:dyDescent="0.3">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spans="1:26" x14ac:dyDescent="0.3">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spans="1:26" x14ac:dyDescent="0.3">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spans="1:26" x14ac:dyDescent="0.3">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spans="1:26" x14ac:dyDescent="0.3">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spans="1:26" x14ac:dyDescent="0.3">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spans="1:26" x14ac:dyDescent="0.3">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spans="1:26" x14ac:dyDescent="0.3">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spans="1:26" x14ac:dyDescent="0.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spans="1:26" x14ac:dyDescent="0.3">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spans="1:26" x14ac:dyDescent="0.3">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spans="1:26" x14ac:dyDescent="0.3">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spans="1:26" x14ac:dyDescent="0.3">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spans="1:26" x14ac:dyDescent="0.3">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spans="1:26" x14ac:dyDescent="0.3">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spans="1:26" x14ac:dyDescent="0.3">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spans="1:26" x14ac:dyDescent="0.3">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spans="1:26" x14ac:dyDescent="0.3">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spans="1:26" x14ac:dyDescent="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spans="1:26" x14ac:dyDescent="0.3">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spans="1:26" x14ac:dyDescent="0.3">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spans="1:26" x14ac:dyDescent="0.3">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spans="1:26" x14ac:dyDescent="0.3">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spans="1:26" x14ac:dyDescent="0.3">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spans="1:26" x14ac:dyDescent="0.3">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spans="1:26" x14ac:dyDescent="0.3">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spans="1:26" x14ac:dyDescent="0.3">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spans="1:26" x14ac:dyDescent="0.3">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spans="1:26" x14ac:dyDescent="0.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spans="1:26" x14ac:dyDescent="0.3">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spans="1:26" x14ac:dyDescent="0.3">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spans="1:26" x14ac:dyDescent="0.3">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spans="1:26" x14ac:dyDescent="0.3">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spans="1:26" x14ac:dyDescent="0.3">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spans="1:26" x14ac:dyDescent="0.3">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spans="1:26" x14ac:dyDescent="0.3">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spans="1:26" x14ac:dyDescent="0.3">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spans="1:26" x14ac:dyDescent="0.3">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spans="1:26" x14ac:dyDescent="0.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spans="1:26" x14ac:dyDescent="0.3">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spans="1:26" x14ac:dyDescent="0.3">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spans="1:26" x14ac:dyDescent="0.3">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spans="1:26" x14ac:dyDescent="0.3">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spans="1:26" x14ac:dyDescent="0.3">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spans="1:26" x14ac:dyDescent="0.3">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spans="1:26" x14ac:dyDescent="0.3">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spans="1:26" x14ac:dyDescent="0.3">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spans="1:26" x14ac:dyDescent="0.3">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spans="1:26" x14ac:dyDescent="0.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spans="1:26" x14ac:dyDescent="0.3">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spans="1:26" x14ac:dyDescent="0.3">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spans="1:26" x14ac:dyDescent="0.3">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spans="1:26" x14ac:dyDescent="0.3">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spans="1:26" x14ac:dyDescent="0.3">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spans="1:26" x14ac:dyDescent="0.3">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spans="1:26" x14ac:dyDescent="0.3">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spans="1:26" x14ac:dyDescent="0.3">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spans="1:26" x14ac:dyDescent="0.3">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spans="1:26" x14ac:dyDescent="0.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spans="1:26" x14ac:dyDescent="0.3">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spans="1:26" x14ac:dyDescent="0.3">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spans="1:26" x14ac:dyDescent="0.3">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spans="1:26" x14ac:dyDescent="0.3">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spans="1:26" x14ac:dyDescent="0.3">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spans="1:26" x14ac:dyDescent="0.3">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spans="1:26" x14ac:dyDescent="0.3">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spans="1:26" x14ac:dyDescent="0.3">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spans="1:26" x14ac:dyDescent="0.3">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spans="1:26" x14ac:dyDescent="0.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spans="1:26" x14ac:dyDescent="0.3">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spans="1:26" x14ac:dyDescent="0.3">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spans="1:26" x14ac:dyDescent="0.3">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spans="1:26" x14ac:dyDescent="0.3">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spans="1:26" x14ac:dyDescent="0.3">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spans="1:26" x14ac:dyDescent="0.3">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spans="1:26" x14ac:dyDescent="0.3">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spans="1:26" x14ac:dyDescent="0.3">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spans="1:26" x14ac:dyDescent="0.3">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spans="1:26" x14ac:dyDescent="0.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spans="1:26" x14ac:dyDescent="0.3">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spans="1:26" x14ac:dyDescent="0.3">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spans="1:26" x14ac:dyDescent="0.3">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spans="1:26" x14ac:dyDescent="0.3">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spans="1:26" x14ac:dyDescent="0.3">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spans="1:26" x14ac:dyDescent="0.3">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spans="1:26" x14ac:dyDescent="0.3">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spans="1:26" x14ac:dyDescent="0.3">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spans="1:26" x14ac:dyDescent="0.3">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spans="1:26" x14ac:dyDescent="0.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spans="1:26" x14ac:dyDescent="0.3">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spans="1:26" x14ac:dyDescent="0.3">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spans="1:26" x14ac:dyDescent="0.3">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spans="1:26" x14ac:dyDescent="0.3">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spans="1:26" x14ac:dyDescent="0.3">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spans="1:26" x14ac:dyDescent="0.3">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spans="1:26" x14ac:dyDescent="0.3">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spans="1:26" x14ac:dyDescent="0.3">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spans="1:26" x14ac:dyDescent="0.3">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spans="1:26" x14ac:dyDescent="0.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spans="1:26" x14ac:dyDescent="0.3">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spans="1:26" x14ac:dyDescent="0.3">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spans="1:26" x14ac:dyDescent="0.3">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spans="1:26" x14ac:dyDescent="0.3">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spans="1:26" x14ac:dyDescent="0.3">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spans="1:26" x14ac:dyDescent="0.3">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spans="1:26" x14ac:dyDescent="0.3">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spans="1:26" x14ac:dyDescent="0.3">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spans="1:26" x14ac:dyDescent="0.3">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spans="1:26" x14ac:dyDescent="0.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spans="1:26" x14ac:dyDescent="0.3">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spans="1:26" x14ac:dyDescent="0.3">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spans="1:26" x14ac:dyDescent="0.3">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spans="1:26" x14ac:dyDescent="0.3">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spans="1:26" x14ac:dyDescent="0.3">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spans="1:26" x14ac:dyDescent="0.3">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spans="1:26" x14ac:dyDescent="0.3">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spans="1:26" x14ac:dyDescent="0.3">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spans="1:26" x14ac:dyDescent="0.3">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spans="1:26" x14ac:dyDescent="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spans="1:26" x14ac:dyDescent="0.3">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spans="1:26" x14ac:dyDescent="0.3">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spans="1:26" x14ac:dyDescent="0.3">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spans="1:26" x14ac:dyDescent="0.3">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spans="1:26" x14ac:dyDescent="0.3">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spans="1:26" x14ac:dyDescent="0.3">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spans="1:26" x14ac:dyDescent="0.3">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spans="1:26" x14ac:dyDescent="0.3">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spans="1:26" x14ac:dyDescent="0.3">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spans="1:26" x14ac:dyDescent="0.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spans="1:26" x14ac:dyDescent="0.3">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spans="1:26" x14ac:dyDescent="0.3">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spans="1:26" x14ac:dyDescent="0.3">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spans="1:26" x14ac:dyDescent="0.3">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spans="1:26" x14ac:dyDescent="0.3">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spans="1:26" x14ac:dyDescent="0.3">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spans="1:26" x14ac:dyDescent="0.3">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spans="1:26" x14ac:dyDescent="0.3">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spans="1:26" x14ac:dyDescent="0.3">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spans="1:26" x14ac:dyDescent="0.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spans="1:26" x14ac:dyDescent="0.3">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spans="1:26" x14ac:dyDescent="0.3">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spans="1:26" x14ac:dyDescent="0.3">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spans="1:26" x14ac:dyDescent="0.3">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spans="1:26" x14ac:dyDescent="0.3">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spans="1:26" x14ac:dyDescent="0.3">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spans="1:26" x14ac:dyDescent="0.3">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spans="1:26" x14ac:dyDescent="0.3">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spans="1:26" x14ac:dyDescent="0.3">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spans="1:26" x14ac:dyDescent="0.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spans="1:26" x14ac:dyDescent="0.3">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spans="1:26" x14ac:dyDescent="0.3">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spans="1:26" x14ac:dyDescent="0.3">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spans="1:26" x14ac:dyDescent="0.3">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spans="1:26" x14ac:dyDescent="0.3">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spans="1:26" x14ac:dyDescent="0.3">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spans="1:26" x14ac:dyDescent="0.3">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spans="1:26" x14ac:dyDescent="0.3">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spans="1:26" x14ac:dyDescent="0.3">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spans="1:26" x14ac:dyDescent="0.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spans="1:26" x14ac:dyDescent="0.3">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spans="1:26" x14ac:dyDescent="0.3">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spans="1:26" x14ac:dyDescent="0.3">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spans="1:26" x14ac:dyDescent="0.3">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spans="1:26" x14ac:dyDescent="0.3">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spans="1:26" x14ac:dyDescent="0.3">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spans="1:26" x14ac:dyDescent="0.3">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spans="1:26" x14ac:dyDescent="0.3">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spans="1:26" x14ac:dyDescent="0.3">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spans="1:26" x14ac:dyDescent="0.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spans="1:26" x14ac:dyDescent="0.3">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spans="1:26" x14ac:dyDescent="0.3">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spans="1:26" x14ac:dyDescent="0.3">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spans="1:26" x14ac:dyDescent="0.3">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spans="1:26" x14ac:dyDescent="0.3">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spans="1:26" x14ac:dyDescent="0.3">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spans="1:26" x14ac:dyDescent="0.3">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spans="1:26" x14ac:dyDescent="0.3">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spans="1:26" x14ac:dyDescent="0.3">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spans="1:26" x14ac:dyDescent="0.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spans="1:26" x14ac:dyDescent="0.3">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spans="1:26" x14ac:dyDescent="0.3">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spans="1:26" x14ac:dyDescent="0.3">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spans="1:26" x14ac:dyDescent="0.3">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spans="1:26" x14ac:dyDescent="0.3">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spans="1:26" x14ac:dyDescent="0.3">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spans="1:26" x14ac:dyDescent="0.3">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spans="1:26" x14ac:dyDescent="0.3">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spans="1:26" x14ac:dyDescent="0.3">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spans="1:26" x14ac:dyDescent="0.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spans="1:26" x14ac:dyDescent="0.3">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spans="1:26" x14ac:dyDescent="0.3">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spans="1:26" x14ac:dyDescent="0.3">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spans="1:26" x14ac:dyDescent="0.3">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spans="1:26" x14ac:dyDescent="0.3">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spans="1:26" x14ac:dyDescent="0.3">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spans="1:26" x14ac:dyDescent="0.3">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spans="1:26" x14ac:dyDescent="0.3">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spans="1:26" x14ac:dyDescent="0.3">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spans="1:26" x14ac:dyDescent="0.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spans="1:26" x14ac:dyDescent="0.3">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spans="1:26" x14ac:dyDescent="0.3">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spans="1:26" x14ac:dyDescent="0.3">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spans="1:26" x14ac:dyDescent="0.3">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spans="1:26" x14ac:dyDescent="0.3">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spans="1:26" x14ac:dyDescent="0.3">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spans="1:26" x14ac:dyDescent="0.3">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spans="1:26" x14ac:dyDescent="0.3">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spans="1:26" x14ac:dyDescent="0.3">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spans="1:26" x14ac:dyDescent="0.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spans="1:26" x14ac:dyDescent="0.3">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spans="1:26" x14ac:dyDescent="0.3">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spans="1:26" x14ac:dyDescent="0.3">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spans="1:26" x14ac:dyDescent="0.3">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spans="1:26" x14ac:dyDescent="0.3">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spans="1:26" x14ac:dyDescent="0.3">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spans="1:26" x14ac:dyDescent="0.3">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A6E65-3BD5-4A10-B040-D9CB9967D001}">
  <dimension ref="A1:Z1000"/>
  <sheetViews>
    <sheetView workbookViewId="0">
      <selection activeCell="H9" sqref="H9"/>
    </sheetView>
  </sheetViews>
  <sheetFormatPr defaultColWidth="14.44140625" defaultRowHeight="15" customHeight="1" x14ac:dyDescent="0.3"/>
  <cols>
    <col min="1" max="1" width="13.21875" customWidth="1"/>
    <col min="2" max="2" width="16.44140625" customWidth="1"/>
    <col min="3" max="3" width="15.5546875" customWidth="1"/>
    <col min="4" max="4" width="13.44140625" customWidth="1"/>
    <col min="5" max="5" width="12" customWidth="1"/>
    <col min="6" max="26" width="8.6640625" customWidth="1"/>
  </cols>
  <sheetData>
    <row r="1" spans="1:26" ht="18" customHeight="1" x14ac:dyDescent="0.3">
      <c r="A1" s="39" t="s">
        <v>4</v>
      </c>
      <c r="B1" s="40" t="s">
        <v>383</v>
      </c>
      <c r="C1" s="40" t="s">
        <v>384</v>
      </c>
      <c r="D1" s="40" t="s">
        <v>385</v>
      </c>
      <c r="E1" s="41" t="s">
        <v>386</v>
      </c>
      <c r="F1" s="35"/>
      <c r="G1" s="35"/>
      <c r="H1" s="35"/>
      <c r="I1" s="35"/>
      <c r="J1" s="35"/>
      <c r="K1" s="35"/>
      <c r="L1" s="35"/>
      <c r="M1" s="35"/>
      <c r="N1" s="35"/>
      <c r="O1" s="35"/>
      <c r="P1" s="35"/>
      <c r="Q1" s="35"/>
      <c r="R1" s="35"/>
      <c r="S1" s="35"/>
      <c r="T1" s="35"/>
      <c r="U1" s="35"/>
      <c r="V1" s="35"/>
      <c r="W1" s="35"/>
      <c r="X1" s="35"/>
      <c r="Y1" s="35"/>
      <c r="Z1" s="35"/>
    </row>
    <row r="2" spans="1:26" ht="18" customHeight="1" x14ac:dyDescent="0.3">
      <c r="A2" s="37" t="s">
        <v>121</v>
      </c>
      <c r="B2" s="36" t="s">
        <v>387</v>
      </c>
      <c r="C2" s="36" t="s">
        <v>388</v>
      </c>
      <c r="D2" s="36" t="s">
        <v>389</v>
      </c>
      <c r="E2" s="38" t="s">
        <v>389</v>
      </c>
    </row>
    <row r="3" spans="1:26" ht="18" customHeight="1" x14ac:dyDescent="0.3">
      <c r="A3" s="37" t="s">
        <v>390</v>
      </c>
      <c r="B3" s="36" t="s">
        <v>391</v>
      </c>
      <c r="C3" s="36" t="s">
        <v>392</v>
      </c>
      <c r="D3" s="36" t="s">
        <v>393</v>
      </c>
      <c r="E3" s="38" t="s">
        <v>394</v>
      </c>
    </row>
    <row r="4" spans="1:26" ht="18" customHeight="1" x14ac:dyDescent="0.3">
      <c r="A4" s="37" t="s">
        <v>143</v>
      </c>
      <c r="B4" s="36" t="s">
        <v>395</v>
      </c>
      <c r="C4" s="36" t="s">
        <v>392</v>
      </c>
      <c r="D4" s="36" t="s">
        <v>396</v>
      </c>
      <c r="E4" s="38" t="s">
        <v>397</v>
      </c>
    </row>
    <row r="5" spans="1:26" ht="18" customHeight="1" x14ac:dyDescent="0.3">
      <c r="A5" s="37" t="s">
        <v>150</v>
      </c>
      <c r="B5" s="36" t="s">
        <v>398</v>
      </c>
      <c r="C5" s="36" t="s">
        <v>392</v>
      </c>
      <c r="D5" s="36" t="s">
        <v>399</v>
      </c>
      <c r="E5" s="38" t="s">
        <v>400</v>
      </c>
    </row>
    <row r="6" spans="1:26" ht="18" customHeight="1" x14ac:dyDescent="0.3">
      <c r="A6" s="37" t="s">
        <v>401</v>
      </c>
      <c r="B6" s="36" t="s">
        <v>402</v>
      </c>
      <c r="C6" s="36" t="s">
        <v>392</v>
      </c>
      <c r="D6" s="36" t="s">
        <v>393</v>
      </c>
      <c r="E6" s="38" t="s">
        <v>394</v>
      </c>
    </row>
    <row r="7" spans="1:26" ht="18" customHeight="1" x14ac:dyDescent="0.3">
      <c r="A7" s="37" t="s">
        <v>118</v>
      </c>
      <c r="B7" s="36" t="s">
        <v>403</v>
      </c>
      <c r="C7" s="36" t="s">
        <v>392</v>
      </c>
      <c r="D7" s="36" t="s">
        <v>404</v>
      </c>
      <c r="E7" s="38" t="s">
        <v>405</v>
      </c>
    </row>
    <row r="8" spans="1:26" ht="18" customHeight="1" x14ac:dyDescent="0.3">
      <c r="A8" s="37" t="s">
        <v>97</v>
      </c>
      <c r="B8" s="36" t="s">
        <v>406</v>
      </c>
      <c r="C8" s="36" t="s">
        <v>392</v>
      </c>
      <c r="D8" s="36" t="s">
        <v>399</v>
      </c>
      <c r="E8" s="38" t="s">
        <v>400</v>
      </c>
    </row>
    <row r="9" spans="1:26" ht="18" customHeight="1" x14ac:dyDescent="0.3">
      <c r="A9" s="37" t="s">
        <v>99</v>
      </c>
      <c r="B9" s="36" t="s">
        <v>407</v>
      </c>
      <c r="C9" s="36" t="s">
        <v>388</v>
      </c>
      <c r="D9" s="36" t="s">
        <v>408</v>
      </c>
      <c r="E9" s="38" t="s">
        <v>397</v>
      </c>
      <c r="H9" s="31"/>
    </row>
    <row r="10" spans="1:26" ht="18" customHeight="1" x14ac:dyDescent="0.3">
      <c r="A10" s="37" t="s">
        <v>40</v>
      </c>
      <c r="B10" s="36" t="s">
        <v>409</v>
      </c>
      <c r="C10" s="36" t="s">
        <v>388</v>
      </c>
      <c r="D10" s="36" t="s">
        <v>393</v>
      </c>
      <c r="E10" s="38" t="s">
        <v>394</v>
      </c>
    </row>
    <row r="11" spans="1:26" ht="18" customHeight="1" x14ac:dyDescent="0.3">
      <c r="A11" s="37" t="s">
        <v>410</v>
      </c>
      <c r="B11" s="36" t="s">
        <v>411</v>
      </c>
      <c r="C11" s="36" t="s">
        <v>392</v>
      </c>
      <c r="D11" s="36" t="s">
        <v>404</v>
      </c>
      <c r="E11" s="38" t="s">
        <v>405</v>
      </c>
    </row>
    <row r="12" spans="1:26" ht="18" customHeight="1" x14ac:dyDescent="0.3">
      <c r="A12" s="37" t="s">
        <v>75</v>
      </c>
      <c r="B12" s="36" t="s">
        <v>412</v>
      </c>
      <c r="C12" s="36" t="s">
        <v>388</v>
      </c>
      <c r="D12" s="36" t="s">
        <v>413</v>
      </c>
      <c r="E12" s="38" t="s">
        <v>414</v>
      </c>
    </row>
    <row r="13" spans="1:26" ht="18" customHeight="1" x14ac:dyDescent="0.3">
      <c r="A13" s="37" t="s">
        <v>415</v>
      </c>
      <c r="B13" s="36" t="s">
        <v>387</v>
      </c>
      <c r="C13" s="36" t="s">
        <v>416</v>
      </c>
      <c r="D13" s="36" t="s">
        <v>417</v>
      </c>
      <c r="E13" s="38" t="s">
        <v>418</v>
      </c>
    </row>
    <row r="14" spans="1:26" ht="18" customHeight="1" x14ac:dyDescent="0.3">
      <c r="A14" s="37" t="s">
        <v>52</v>
      </c>
      <c r="B14" s="36" t="s">
        <v>402</v>
      </c>
      <c r="C14" s="36" t="s">
        <v>392</v>
      </c>
      <c r="D14" s="36" t="s">
        <v>393</v>
      </c>
      <c r="E14" s="38" t="s">
        <v>394</v>
      </c>
    </row>
    <row r="15" spans="1:26" ht="18" customHeight="1" x14ac:dyDescent="0.3">
      <c r="A15" s="37" t="s">
        <v>101</v>
      </c>
      <c r="B15" s="36" t="s">
        <v>407</v>
      </c>
      <c r="C15" s="36" t="s">
        <v>416</v>
      </c>
      <c r="D15" s="36" t="s">
        <v>404</v>
      </c>
      <c r="E15" s="38" t="s">
        <v>405</v>
      </c>
    </row>
    <row r="16" spans="1:26" ht="18" customHeight="1" x14ac:dyDescent="0.3">
      <c r="A16" s="37" t="s">
        <v>174</v>
      </c>
      <c r="B16" s="36" t="s">
        <v>419</v>
      </c>
      <c r="C16" s="36" t="s">
        <v>416</v>
      </c>
      <c r="D16" s="36" t="s">
        <v>417</v>
      </c>
      <c r="E16" s="38" t="s">
        <v>418</v>
      </c>
    </row>
    <row r="17" spans="1:5" ht="18" customHeight="1" x14ac:dyDescent="0.3">
      <c r="A17" s="37" t="s">
        <v>85</v>
      </c>
      <c r="B17" s="36" t="s">
        <v>420</v>
      </c>
      <c r="C17" s="36" t="s">
        <v>392</v>
      </c>
      <c r="D17" s="36" t="s">
        <v>417</v>
      </c>
      <c r="E17" s="38" t="s">
        <v>418</v>
      </c>
    </row>
    <row r="18" spans="1:5" ht="18" customHeight="1" x14ac:dyDescent="0.3">
      <c r="A18" s="37" t="s">
        <v>139</v>
      </c>
      <c r="B18" s="36" t="s">
        <v>421</v>
      </c>
      <c r="C18" s="36" t="s">
        <v>388</v>
      </c>
      <c r="D18" s="36" t="s">
        <v>396</v>
      </c>
      <c r="E18" s="38" t="s">
        <v>397</v>
      </c>
    </row>
    <row r="19" spans="1:5" ht="18" customHeight="1" x14ac:dyDescent="0.3">
      <c r="A19" s="37" t="s">
        <v>94</v>
      </c>
      <c r="B19" s="36" t="s">
        <v>422</v>
      </c>
      <c r="C19" s="36" t="s">
        <v>416</v>
      </c>
      <c r="D19" s="36" t="s">
        <v>413</v>
      </c>
      <c r="E19" s="38" t="s">
        <v>414</v>
      </c>
    </row>
    <row r="20" spans="1:5" ht="18" customHeight="1" x14ac:dyDescent="0.3">
      <c r="A20" s="37" t="s">
        <v>48</v>
      </c>
      <c r="B20" s="36" t="s">
        <v>403</v>
      </c>
      <c r="C20" s="36" t="s">
        <v>392</v>
      </c>
      <c r="D20" s="36" t="s">
        <v>393</v>
      </c>
      <c r="E20" s="38" t="s">
        <v>394</v>
      </c>
    </row>
    <row r="21" spans="1:5" ht="18" customHeight="1" x14ac:dyDescent="0.3">
      <c r="A21" s="37" t="s">
        <v>423</v>
      </c>
      <c r="B21" s="36" t="s">
        <v>424</v>
      </c>
      <c r="C21" s="36" t="s">
        <v>416</v>
      </c>
      <c r="D21" s="36" t="s">
        <v>404</v>
      </c>
      <c r="E21" s="38" t="s">
        <v>405</v>
      </c>
    </row>
    <row r="22" spans="1:5" ht="18" customHeight="1" x14ac:dyDescent="0.3">
      <c r="A22" s="37" t="s">
        <v>14</v>
      </c>
      <c r="B22" s="36" t="s">
        <v>425</v>
      </c>
      <c r="C22" s="36" t="s">
        <v>416</v>
      </c>
      <c r="D22" s="36" t="s">
        <v>396</v>
      </c>
      <c r="E22" s="38" t="s">
        <v>397</v>
      </c>
    </row>
    <row r="23" spans="1:5" ht="18" customHeight="1" x14ac:dyDescent="0.3">
      <c r="A23" s="37" t="s">
        <v>148</v>
      </c>
      <c r="B23" s="36" t="s">
        <v>420</v>
      </c>
      <c r="C23" s="36" t="s">
        <v>416</v>
      </c>
      <c r="D23" s="36" t="s">
        <v>413</v>
      </c>
      <c r="E23" s="38" t="s">
        <v>414</v>
      </c>
    </row>
    <row r="24" spans="1:5" ht="18" customHeight="1" x14ac:dyDescent="0.3">
      <c r="A24" s="37" t="s">
        <v>63</v>
      </c>
      <c r="B24" s="36" t="s">
        <v>426</v>
      </c>
      <c r="C24" s="36" t="s">
        <v>416</v>
      </c>
      <c r="D24" s="36" t="s">
        <v>396</v>
      </c>
      <c r="E24" s="38" t="s">
        <v>397</v>
      </c>
    </row>
    <row r="25" spans="1:5" ht="18" customHeight="1" x14ac:dyDescent="0.3">
      <c r="A25" s="37" t="s">
        <v>116</v>
      </c>
      <c r="B25" s="36" t="s">
        <v>427</v>
      </c>
      <c r="C25" s="36" t="s">
        <v>388</v>
      </c>
      <c r="D25" s="36" t="s">
        <v>413</v>
      </c>
      <c r="E25" s="38" t="s">
        <v>414</v>
      </c>
    </row>
    <row r="26" spans="1:5" ht="18" customHeight="1" x14ac:dyDescent="0.3">
      <c r="A26" s="37" t="s">
        <v>80</v>
      </c>
      <c r="B26" s="36" t="s">
        <v>421</v>
      </c>
      <c r="C26" s="36" t="s">
        <v>416</v>
      </c>
      <c r="D26" s="36" t="s">
        <v>413</v>
      </c>
      <c r="E26" s="38" t="s">
        <v>414</v>
      </c>
    </row>
    <row r="27" spans="1:5" ht="18" customHeight="1" x14ac:dyDescent="0.3">
      <c r="A27" s="37" t="s">
        <v>131</v>
      </c>
      <c r="B27" s="36" t="s">
        <v>425</v>
      </c>
      <c r="C27" s="36" t="s">
        <v>416</v>
      </c>
      <c r="D27" s="36" t="s">
        <v>393</v>
      </c>
      <c r="E27" s="38" t="s">
        <v>394</v>
      </c>
    </row>
    <row r="28" spans="1:5" ht="18" customHeight="1" x14ac:dyDescent="0.3">
      <c r="A28" s="37" t="s">
        <v>36</v>
      </c>
      <c r="B28" s="36" t="s">
        <v>428</v>
      </c>
      <c r="C28" s="36" t="s">
        <v>416</v>
      </c>
      <c r="D28" s="36" t="s">
        <v>393</v>
      </c>
      <c r="E28" s="38" t="s">
        <v>394</v>
      </c>
    </row>
    <row r="29" spans="1:5" ht="18" customHeight="1" x14ac:dyDescent="0.3">
      <c r="A29" s="37" t="s">
        <v>87</v>
      </c>
      <c r="B29" s="36" t="s">
        <v>429</v>
      </c>
      <c r="C29" s="36" t="s">
        <v>388</v>
      </c>
      <c r="D29" s="36" t="s">
        <v>396</v>
      </c>
      <c r="E29" s="38" t="s">
        <v>397</v>
      </c>
    </row>
    <row r="30" spans="1:5" ht="18" customHeight="1" x14ac:dyDescent="0.3">
      <c r="A30" s="37" t="s">
        <v>21</v>
      </c>
      <c r="B30" s="36" t="s">
        <v>419</v>
      </c>
      <c r="C30" s="36" t="s">
        <v>416</v>
      </c>
      <c r="D30" s="36" t="s">
        <v>413</v>
      </c>
      <c r="E30" s="38" t="s">
        <v>414</v>
      </c>
    </row>
    <row r="31" spans="1:5" ht="18" customHeight="1" x14ac:dyDescent="0.3">
      <c r="A31" s="37" t="s">
        <v>430</v>
      </c>
      <c r="B31" s="36" t="s">
        <v>421</v>
      </c>
      <c r="C31" s="36" t="s">
        <v>416</v>
      </c>
      <c r="D31" s="36" t="s">
        <v>393</v>
      </c>
      <c r="E31" s="38" t="s">
        <v>394</v>
      </c>
    </row>
    <row r="32" spans="1:5" ht="18" customHeight="1" x14ac:dyDescent="0.3">
      <c r="A32" s="37" t="s">
        <v>183</v>
      </c>
      <c r="B32" s="36" t="s">
        <v>431</v>
      </c>
      <c r="C32" s="36" t="s">
        <v>388</v>
      </c>
      <c r="D32" s="36" t="s">
        <v>393</v>
      </c>
      <c r="E32" s="38" t="s">
        <v>394</v>
      </c>
    </row>
    <row r="33" spans="1:5" ht="18" customHeight="1" x14ac:dyDescent="0.3">
      <c r="A33" s="37" t="s">
        <v>108</v>
      </c>
      <c r="B33" s="36" t="s">
        <v>432</v>
      </c>
      <c r="C33" s="36" t="s">
        <v>388</v>
      </c>
      <c r="D33" s="36" t="s">
        <v>396</v>
      </c>
      <c r="E33" s="38" t="s">
        <v>397</v>
      </c>
    </row>
    <row r="34" spans="1:5" ht="18" customHeight="1" x14ac:dyDescent="0.3">
      <c r="A34" s="37" t="s">
        <v>66</v>
      </c>
      <c r="B34" s="36" t="s">
        <v>433</v>
      </c>
      <c r="C34" s="36" t="s">
        <v>388</v>
      </c>
      <c r="D34" s="36" t="s">
        <v>417</v>
      </c>
      <c r="E34" s="38" t="s">
        <v>418</v>
      </c>
    </row>
    <row r="35" spans="1:5" ht="18" customHeight="1" x14ac:dyDescent="0.3">
      <c r="A35" s="37" t="s">
        <v>193</v>
      </c>
      <c r="B35" s="36" t="s">
        <v>434</v>
      </c>
      <c r="C35" s="36" t="s">
        <v>416</v>
      </c>
      <c r="D35" s="36" t="s">
        <v>417</v>
      </c>
      <c r="E35" s="38" t="s">
        <v>418</v>
      </c>
    </row>
    <row r="36" spans="1:5" ht="18" customHeight="1" x14ac:dyDescent="0.3">
      <c r="A36" s="37" t="s">
        <v>146</v>
      </c>
      <c r="B36" s="36" t="s">
        <v>435</v>
      </c>
      <c r="C36" s="36" t="s">
        <v>388</v>
      </c>
      <c r="D36" s="36" t="s">
        <v>413</v>
      </c>
      <c r="E36" s="38" t="s">
        <v>414</v>
      </c>
    </row>
    <row r="37" spans="1:5" ht="18" customHeight="1" x14ac:dyDescent="0.3">
      <c r="A37" s="37" t="s">
        <v>186</v>
      </c>
      <c r="B37" s="36" t="s">
        <v>395</v>
      </c>
      <c r="C37" s="36" t="s">
        <v>388</v>
      </c>
      <c r="D37" s="36" t="s">
        <v>404</v>
      </c>
      <c r="E37" s="38" t="s">
        <v>405</v>
      </c>
    </row>
    <row r="38" spans="1:5" ht="18" customHeight="1" x14ac:dyDescent="0.3">
      <c r="A38" s="37" t="s">
        <v>103</v>
      </c>
      <c r="B38" s="36" t="s">
        <v>391</v>
      </c>
      <c r="C38" s="36" t="s">
        <v>416</v>
      </c>
      <c r="D38" s="36" t="s">
        <v>413</v>
      </c>
      <c r="E38" s="38" t="s">
        <v>414</v>
      </c>
    </row>
    <row r="39" spans="1:5" ht="18" customHeight="1" x14ac:dyDescent="0.3">
      <c r="A39" s="37" t="s">
        <v>436</v>
      </c>
      <c r="B39" s="36" t="s">
        <v>437</v>
      </c>
      <c r="C39" s="36" t="s">
        <v>388</v>
      </c>
      <c r="D39" s="36" t="s">
        <v>396</v>
      </c>
      <c r="E39" s="38" t="s">
        <v>397</v>
      </c>
    </row>
    <row r="40" spans="1:5" ht="18" customHeight="1" x14ac:dyDescent="0.3">
      <c r="A40" s="37" t="s">
        <v>127</v>
      </c>
      <c r="B40" s="36" t="s">
        <v>438</v>
      </c>
      <c r="C40" s="36" t="s">
        <v>416</v>
      </c>
      <c r="D40" s="36" t="s">
        <v>396</v>
      </c>
      <c r="E40" s="38" t="s">
        <v>397</v>
      </c>
    </row>
    <row r="41" spans="1:5" ht="18" customHeight="1" x14ac:dyDescent="0.3">
      <c r="A41" s="37" t="s">
        <v>89</v>
      </c>
      <c r="B41" s="36" t="s">
        <v>439</v>
      </c>
      <c r="C41" s="36" t="s">
        <v>392</v>
      </c>
      <c r="D41" s="36" t="s">
        <v>396</v>
      </c>
      <c r="E41" s="38" t="s">
        <v>397</v>
      </c>
    </row>
    <row r="42" spans="1:5" ht="18" customHeight="1" x14ac:dyDescent="0.3">
      <c r="A42" s="37" t="s">
        <v>78</v>
      </c>
      <c r="B42" s="36" t="s">
        <v>440</v>
      </c>
      <c r="C42" s="36" t="s">
        <v>388</v>
      </c>
      <c r="D42" s="36" t="s">
        <v>396</v>
      </c>
      <c r="E42" s="38" t="s">
        <v>397</v>
      </c>
    </row>
    <row r="43" spans="1:5" ht="18" customHeight="1" x14ac:dyDescent="0.3">
      <c r="A43" s="37" t="s">
        <v>43</v>
      </c>
      <c r="B43" s="36" t="s">
        <v>398</v>
      </c>
      <c r="C43" s="36" t="s">
        <v>392</v>
      </c>
      <c r="D43" s="36" t="s">
        <v>396</v>
      </c>
      <c r="E43" s="38" t="s">
        <v>397</v>
      </c>
    </row>
    <row r="44" spans="1:5" ht="18" customHeight="1" x14ac:dyDescent="0.3">
      <c r="A44" s="37" t="s">
        <v>178</v>
      </c>
      <c r="B44" s="36" t="s">
        <v>441</v>
      </c>
      <c r="C44" s="36" t="s">
        <v>416</v>
      </c>
      <c r="D44" s="36" t="s">
        <v>393</v>
      </c>
      <c r="E44" s="38" t="s">
        <v>394</v>
      </c>
    </row>
    <row r="45" spans="1:5" ht="18" customHeight="1" x14ac:dyDescent="0.3">
      <c r="A45" s="37" t="s">
        <v>32</v>
      </c>
      <c r="B45" s="36" t="s">
        <v>442</v>
      </c>
      <c r="C45" s="36" t="s">
        <v>388</v>
      </c>
      <c r="D45" s="36" t="s">
        <v>417</v>
      </c>
      <c r="E45" s="38" t="s">
        <v>418</v>
      </c>
    </row>
    <row r="46" spans="1:5" ht="18" customHeight="1" x14ac:dyDescent="0.3">
      <c r="A46" s="37" t="s">
        <v>60</v>
      </c>
      <c r="B46" s="36" t="s">
        <v>391</v>
      </c>
      <c r="C46" s="36" t="s">
        <v>416</v>
      </c>
      <c r="D46" s="36" t="s">
        <v>396</v>
      </c>
      <c r="E46" s="38" t="s">
        <v>397</v>
      </c>
    </row>
    <row r="47" spans="1:5" ht="18" customHeight="1" x14ac:dyDescent="0.3">
      <c r="A47" s="37" t="s">
        <v>57</v>
      </c>
      <c r="B47" s="36" t="s">
        <v>391</v>
      </c>
      <c r="C47" s="36" t="s">
        <v>392</v>
      </c>
      <c r="D47" s="36" t="s">
        <v>404</v>
      </c>
      <c r="E47" s="38" t="s">
        <v>405</v>
      </c>
    </row>
    <row r="48" spans="1:5" ht="18" customHeight="1" x14ac:dyDescent="0.3">
      <c r="A48" s="37" t="s">
        <v>71</v>
      </c>
      <c r="B48" s="36" t="s">
        <v>427</v>
      </c>
      <c r="C48" s="36" t="s">
        <v>416</v>
      </c>
      <c r="D48" s="36" t="s">
        <v>404</v>
      </c>
      <c r="E48" s="38" t="s">
        <v>405</v>
      </c>
    </row>
    <row r="49" spans="1:5" ht="18" customHeight="1" x14ac:dyDescent="0.3">
      <c r="A49" s="37" t="s">
        <v>152</v>
      </c>
      <c r="B49" s="36" t="s">
        <v>398</v>
      </c>
      <c r="C49" s="36" t="s">
        <v>388</v>
      </c>
      <c r="D49" s="36" t="s">
        <v>404</v>
      </c>
      <c r="E49" s="38" t="s">
        <v>405</v>
      </c>
    </row>
    <row r="50" spans="1:5" ht="18" customHeight="1" x14ac:dyDescent="0.3">
      <c r="A50" s="42" t="s">
        <v>443</v>
      </c>
      <c r="B50" s="43" t="s">
        <v>444</v>
      </c>
      <c r="C50" s="43" t="s">
        <v>388</v>
      </c>
      <c r="D50" s="43" t="s">
        <v>404</v>
      </c>
      <c r="E50" s="44" t="s">
        <v>405</v>
      </c>
    </row>
    <row r="51" spans="1:5" ht="14.25" customHeight="1" x14ac:dyDescent="0.3"/>
    <row r="52" spans="1:5" ht="14.25" customHeight="1" x14ac:dyDescent="0.3"/>
    <row r="53" spans="1:5" ht="14.25" customHeight="1" x14ac:dyDescent="0.3"/>
    <row r="54" spans="1:5" ht="14.25" customHeight="1" x14ac:dyDescent="0.3"/>
    <row r="55" spans="1:5" ht="14.25" customHeight="1" x14ac:dyDescent="0.3"/>
    <row r="56" spans="1:5" ht="14.25" customHeight="1" x14ac:dyDescent="0.3"/>
    <row r="57" spans="1:5" ht="14.25" customHeight="1" x14ac:dyDescent="0.3"/>
    <row r="58" spans="1:5" ht="14.25" customHeight="1" x14ac:dyDescent="0.3"/>
    <row r="59" spans="1:5" ht="14.25" customHeight="1" x14ac:dyDescent="0.3"/>
    <row r="60" spans="1:5" ht="14.25" customHeight="1" x14ac:dyDescent="0.3"/>
    <row r="61" spans="1:5" ht="14.25" customHeight="1" x14ac:dyDescent="0.3"/>
    <row r="62" spans="1:5" ht="14.25" customHeight="1" x14ac:dyDescent="0.3"/>
    <row r="63" spans="1:5" ht="14.25" customHeight="1" x14ac:dyDescent="0.3"/>
    <row r="64" spans="1:5"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59897-09D1-47EB-8FCE-D6BF2109F3FD}">
  <dimension ref="A1:W102"/>
  <sheetViews>
    <sheetView topLeftCell="A18" zoomScale="59" zoomScaleNormal="80" workbookViewId="0">
      <selection activeCell="M24" sqref="M24"/>
    </sheetView>
  </sheetViews>
  <sheetFormatPr defaultRowHeight="14.4" x14ac:dyDescent="0.3"/>
  <cols>
    <col min="1" max="1" width="11.33203125" customWidth="1"/>
    <col min="2" max="2" width="10.88671875" customWidth="1"/>
    <col min="3" max="3" width="12.77734375" customWidth="1"/>
    <col min="4" max="4" width="14.109375" customWidth="1"/>
    <col min="5" max="5" width="13.6640625" customWidth="1"/>
    <col min="6" max="6" width="15.44140625" customWidth="1"/>
    <col min="7" max="7" width="11.88671875" customWidth="1"/>
    <col min="8" max="8" width="14.109375" customWidth="1"/>
    <col min="9" max="9" width="19.109375" customWidth="1"/>
    <col min="10" max="10" width="10.33203125" customWidth="1"/>
    <col min="11" max="11" width="12.88671875" customWidth="1"/>
    <col min="12" max="12" width="12.44140625" customWidth="1"/>
    <col min="13" max="13" width="11.21875" customWidth="1"/>
    <col min="14" max="14" width="13.77734375" customWidth="1"/>
    <col min="15" max="15" width="14.33203125" customWidth="1"/>
    <col min="16" max="16" width="22.77734375" customWidth="1"/>
    <col min="17" max="17" width="14.33203125" customWidth="1"/>
    <col min="18" max="18" width="11" customWidth="1"/>
    <col min="19" max="19" width="14" customWidth="1"/>
    <col min="20" max="20" width="13.44140625" customWidth="1"/>
    <col min="21" max="21" width="17.44140625" customWidth="1"/>
    <col min="22" max="22" width="20.88671875" customWidth="1"/>
    <col min="23" max="23" width="14.44140625" customWidth="1"/>
  </cols>
  <sheetData>
    <row r="1" spans="1:23" s="46" customFormat="1" ht="28.8" x14ac:dyDescent="0.3">
      <c r="A1" s="46" t="s">
        <v>447</v>
      </c>
      <c r="B1" s="46" t="s">
        <v>0</v>
      </c>
      <c r="C1" s="46" t="s">
        <v>1</v>
      </c>
      <c r="D1" s="46" t="s">
        <v>2</v>
      </c>
      <c r="E1" s="46" t="s">
        <v>3</v>
      </c>
      <c r="F1" s="46" t="s">
        <v>4</v>
      </c>
      <c r="G1" s="46" t="s">
        <v>5</v>
      </c>
      <c r="H1" s="46" t="s">
        <v>377</v>
      </c>
      <c r="I1" s="46" t="s">
        <v>323</v>
      </c>
      <c r="J1" s="46" t="s">
        <v>6</v>
      </c>
      <c r="K1" s="46" t="s">
        <v>7</v>
      </c>
      <c r="L1" s="46" t="s">
        <v>8</v>
      </c>
      <c r="M1" s="46" t="s">
        <v>9</v>
      </c>
      <c r="N1" s="46" t="s">
        <v>10</v>
      </c>
      <c r="O1" s="46" t="s">
        <v>11</v>
      </c>
      <c r="P1" s="46" t="s">
        <v>12</v>
      </c>
      <c r="Q1" s="46" t="s">
        <v>196</v>
      </c>
      <c r="R1" s="46" t="s">
        <v>381</v>
      </c>
      <c r="S1" s="46" t="s">
        <v>18</v>
      </c>
      <c r="T1" s="46" t="s">
        <v>25</v>
      </c>
      <c r="U1" s="46" t="s">
        <v>449</v>
      </c>
      <c r="V1" s="46" t="s">
        <v>454</v>
      </c>
      <c r="W1" s="46" t="s">
        <v>455</v>
      </c>
    </row>
    <row r="2" spans="1:23" x14ac:dyDescent="0.3">
      <c r="A2">
        <v>1</v>
      </c>
      <c r="B2" t="s">
        <v>13</v>
      </c>
      <c r="C2" s="1">
        <v>45291</v>
      </c>
      <c r="D2" s="1"/>
      <c r="E2" s="1">
        <v>45323</v>
      </c>
      <c r="F2" t="s">
        <v>14</v>
      </c>
      <c r="G2" t="s">
        <v>15</v>
      </c>
      <c r="H2" t="str">
        <f>_xlfn.XLOOKUP(AmazonSales[[#This Row],[Product ID]],Product_table[Product ID],Product_table[Category])</f>
        <v>Home</v>
      </c>
      <c r="I2" t="str">
        <f>_xlfn.XLOOKUP(AmazonSales[[#This Row],[Product ID]],Product_table[Product ID],Product_table[Product Name])</f>
        <v>Lamp</v>
      </c>
      <c r="J2" t="s">
        <v>16</v>
      </c>
      <c r="K2">
        <v>44</v>
      </c>
      <c r="L2">
        <v>1</v>
      </c>
      <c r="M2">
        <v>44</v>
      </c>
      <c r="N2" t="s">
        <v>17</v>
      </c>
      <c r="O2" t="s">
        <v>18</v>
      </c>
      <c r="P2" t="s">
        <v>19</v>
      </c>
      <c r="Q2" t="str">
        <f t="shared" ref="Q2:Q65" si="0">IF(AND(E2&lt;&gt;"", O2="Cancelled"), "Cancelled", "Active")</f>
        <v>Cancelled</v>
      </c>
      <c r="S2">
        <f>IF(AmazonSales[[#This Row],[Order Status]]="Cancelled",1,0)</f>
        <v>1</v>
      </c>
      <c r="T2">
        <f>IF(AmazonSales[[#This Row],[Delivery Status]]="Delivered",1,0)</f>
        <v>0</v>
      </c>
      <c r="U2">
        <f>IF(AmazonSales[[#This Row],[Delivery Status]]="Delivered",AmazonSales[[#This Row],[Total Amount]],0)</f>
        <v>0</v>
      </c>
      <c r="V2" t="str" cm="1">
        <f t="array" ref="V2">_xlfn.IFS(AND(AmazonSales[[#This Row],[Delivery Time]]=""),"",AND(AmazonSales[[#This Row],[Delivery Time]]&lt;=2),"Fast",AND(AmazonSales[[#This Row],[Delivery Time]]&gt;2),"Slow")</f>
        <v/>
      </c>
      <c r="W2">
        <f>IF(AmazonSales[[#This Row],[Delivery performance]]="Fast",1,0)</f>
        <v>0</v>
      </c>
    </row>
    <row r="3" spans="1:23" x14ac:dyDescent="0.3">
      <c r="A3">
        <v>1</v>
      </c>
      <c r="B3" t="s">
        <v>20</v>
      </c>
      <c r="C3" s="1">
        <v>44979</v>
      </c>
      <c r="D3" s="1">
        <v>44981</v>
      </c>
      <c r="E3" s="1"/>
      <c r="F3" t="s">
        <v>21</v>
      </c>
      <c r="G3" t="s">
        <v>22</v>
      </c>
      <c r="H3" t="str">
        <f>_xlfn.XLOOKUP(AmazonSales[[#This Row],[Product ID]],Product_table[Product ID],Product_table[Category])</f>
        <v>Toys</v>
      </c>
      <c r="I3" t="str">
        <f>_xlfn.XLOOKUP(AmazonSales[[#This Row],[Product ID]],Product_table[Product ID],Product_table[Product Name])</f>
        <v>Doll House</v>
      </c>
      <c r="J3" t="s">
        <v>23</v>
      </c>
      <c r="K3">
        <v>96</v>
      </c>
      <c r="L3">
        <v>4</v>
      </c>
      <c r="M3">
        <v>384</v>
      </c>
      <c r="N3" t="s">
        <v>24</v>
      </c>
      <c r="O3" t="s">
        <v>25</v>
      </c>
      <c r="P3" t="s">
        <v>19</v>
      </c>
      <c r="Q3" t="str">
        <f t="shared" si="0"/>
        <v>Active</v>
      </c>
      <c r="R3">
        <f>DATEDIF(AmazonSales[[#This Row],[Order Date]],AmazonSales[[#This Row],[Delivery Date]],"d")</f>
        <v>2</v>
      </c>
      <c r="S3">
        <f>IF(AmazonSales[[#This Row],[Order Status]]="Cancelled",1,0)</f>
        <v>0</v>
      </c>
      <c r="T3">
        <f>IF(AmazonSales[[#This Row],[Delivery Status]]="Delivered",1,0)</f>
        <v>1</v>
      </c>
      <c r="U3">
        <f>IF(AmazonSales[[#This Row],[Delivery Status]]="Delivered",AmazonSales[[#This Row],[Total Amount]],0)</f>
        <v>384</v>
      </c>
      <c r="V3" t="str" cm="1">
        <f t="array" ref="V3">_xlfn.IFS(AND(AmazonSales[[#This Row],[Delivery Time]]=""),"",AND(AmazonSales[[#This Row],[Delivery Time]]&lt;=2),"Fast",AND(AmazonSales[[#This Row],[Delivery Time]]&gt;2),"Slow")</f>
        <v>Fast</v>
      </c>
      <c r="W3">
        <f>IF(AmazonSales[[#This Row],[Delivery performance]]="Fast",1,0)</f>
        <v>1</v>
      </c>
    </row>
    <row r="4" spans="1:23" x14ac:dyDescent="0.3">
      <c r="A4">
        <v>1</v>
      </c>
      <c r="B4" t="s">
        <v>26</v>
      </c>
      <c r="C4" s="1">
        <v>45240</v>
      </c>
      <c r="D4" s="1"/>
      <c r="E4" s="1"/>
      <c r="F4" t="s">
        <v>14</v>
      </c>
      <c r="G4" t="s">
        <v>27</v>
      </c>
      <c r="H4" t="str">
        <f>_xlfn.XLOOKUP(AmazonSales[[#This Row],[Product ID]],Product_table[Product ID],Product_table[Category])</f>
        <v>Home</v>
      </c>
      <c r="I4" t="str">
        <f>_xlfn.XLOOKUP(AmazonSales[[#This Row],[Product ID]],Product_table[Product ID],Product_table[Product Name])</f>
        <v>Vacuum Cleaner</v>
      </c>
      <c r="J4" t="s">
        <v>28</v>
      </c>
      <c r="K4">
        <v>194</v>
      </c>
      <c r="L4">
        <v>4</v>
      </c>
      <c r="M4">
        <v>776</v>
      </c>
      <c r="N4" t="s">
        <v>24</v>
      </c>
      <c r="O4" t="s">
        <v>29</v>
      </c>
      <c r="P4" t="s">
        <v>30</v>
      </c>
      <c r="Q4" t="str">
        <f t="shared" si="0"/>
        <v>Active</v>
      </c>
      <c r="S4">
        <f>IF(AmazonSales[[#This Row],[Order Status]]="Cancelled",1,0)</f>
        <v>0</v>
      </c>
      <c r="T4">
        <f>IF(AmazonSales[[#This Row],[Delivery Status]]="Delivered",1,0)</f>
        <v>0</v>
      </c>
      <c r="U4">
        <f>IF(AmazonSales[[#This Row],[Delivery Status]]="Delivered",AmazonSales[[#This Row],[Total Amount]],0)</f>
        <v>0</v>
      </c>
      <c r="V4" t="str" cm="1">
        <f t="array" ref="V4">_xlfn.IFS(AND(AmazonSales[[#This Row],[Delivery Time]]=""),"",AND(AmazonSales[[#This Row],[Delivery Time]]&lt;=2),"Fast",AND(AmazonSales[[#This Row],[Delivery Time]]&gt;2),"Slow")</f>
        <v/>
      </c>
      <c r="W4">
        <f>IF(AmazonSales[[#This Row],[Delivery performance]]="Fast",1,0)</f>
        <v>0</v>
      </c>
    </row>
    <row r="5" spans="1:23" x14ac:dyDescent="0.3">
      <c r="A5">
        <v>1</v>
      </c>
      <c r="B5" t="s">
        <v>31</v>
      </c>
      <c r="C5" s="1">
        <v>45051</v>
      </c>
      <c r="D5" s="1"/>
      <c r="E5" s="1">
        <v>45235</v>
      </c>
      <c r="F5" t="s">
        <v>32</v>
      </c>
      <c r="G5" t="s">
        <v>27</v>
      </c>
      <c r="H5" t="str">
        <f>_xlfn.XLOOKUP(AmazonSales[[#This Row],[Product ID]],Product_table[Product ID],Product_table[Category])</f>
        <v>Home</v>
      </c>
      <c r="I5" t="str">
        <f>_xlfn.XLOOKUP(AmazonSales[[#This Row],[Product ID]],Product_table[Product ID],Product_table[Product Name])</f>
        <v>Vacuum Cleaner</v>
      </c>
      <c r="J5" t="s">
        <v>16</v>
      </c>
      <c r="K5">
        <v>196</v>
      </c>
      <c r="L5">
        <v>3</v>
      </c>
      <c r="M5">
        <v>588</v>
      </c>
      <c r="N5" t="s">
        <v>33</v>
      </c>
      <c r="O5" t="s">
        <v>18</v>
      </c>
      <c r="P5" t="s">
        <v>34</v>
      </c>
      <c r="Q5" t="str">
        <f t="shared" si="0"/>
        <v>Cancelled</v>
      </c>
      <c r="S5">
        <f>IF(AmazonSales[[#This Row],[Order Status]]="Cancelled",1,0)</f>
        <v>1</v>
      </c>
      <c r="T5">
        <f>IF(AmazonSales[[#This Row],[Delivery Status]]="Delivered",1,0)</f>
        <v>0</v>
      </c>
      <c r="U5">
        <f>IF(AmazonSales[[#This Row],[Delivery Status]]="Delivered",AmazonSales[[#This Row],[Total Amount]],0)</f>
        <v>0</v>
      </c>
      <c r="V5" t="str" cm="1">
        <f t="array" ref="V5">_xlfn.IFS(AND(AmazonSales[[#This Row],[Delivery Time]]=""),"",AND(AmazonSales[[#This Row],[Delivery Time]]&lt;=2),"Fast",AND(AmazonSales[[#This Row],[Delivery Time]]&gt;2),"Slow")</f>
        <v/>
      </c>
      <c r="W5">
        <f>IF(AmazonSales[[#This Row],[Delivery performance]]="Fast",1,0)</f>
        <v>0</v>
      </c>
    </row>
    <row r="6" spans="1:23" x14ac:dyDescent="0.3">
      <c r="A6">
        <v>1</v>
      </c>
      <c r="B6" t="s">
        <v>35</v>
      </c>
      <c r="C6" s="1">
        <v>44959</v>
      </c>
      <c r="D6" s="1">
        <v>44962</v>
      </c>
      <c r="E6" s="1"/>
      <c r="F6" t="s">
        <v>36</v>
      </c>
      <c r="G6" t="s">
        <v>37</v>
      </c>
      <c r="H6" t="str">
        <f>_xlfn.XLOOKUP(AmazonSales[[#This Row],[Product ID]],Product_table[Product ID],Product_table[Category])</f>
        <v>Fashion</v>
      </c>
      <c r="I6" t="str">
        <f>_xlfn.XLOOKUP(AmazonSales[[#This Row],[Product ID]],Product_table[Product ID],Product_table[Product Name])</f>
        <v>Jeans</v>
      </c>
      <c r="J6" t="s">
        <v>16</v>
      </c>
      <c r="K6">
        <v>59</v>
      </c>
      <c r="L6">
        <v>1</v>
      </c>
      <c r="M6">
        <v>59</v>
      </c>
      <c r="N6" t="s">
        <v>33</v>
      </c>
      <c r="O6" t="s">
        <v>25</v>
      </c>
      <c r="P6" t="s">
        <v>38</v>
      </c>
      <c r="Q6" t="str">
        <f t="shared" si="0"/>
        <v>Active</v>
      </c>
      <c r="R6">
        <f>DATEDIF(AmazonSales[[#This Row],[Order Date]],AmazonSales[[#This Row],[Delivery Date]],"d")</f>
        <v>3</v>
      </c>
      <c r="S6">
        <f>IF(AmazonSales[[#This Row],[Order Status]]="Cancelled",1,0)</f>
        <v>0</v>
      </c>
      <c r="T6">
        <f>IF(AmazonSales[[#This Row],[Delivery Status]]="Delivered",1,0)</f>
        <v>1</v>
      </c>
      <c r="U6">
        <f>IF(AmazonSales[[#This Row],[Delivery Status]]="Delivered",AmazonSales[[#This Row],[Total Amount]],0)</f>
        <v>59</v>
      </c>
      <c r="V6" t="str" cm="1">
        <f t="array" ref="V6">_xlfn.IFS(AND(AmazonSales[[#This Row],[Delivery Time]]=""),"",AND(AmazonSales[[#This Row],[Delivery Time]]&lt;=2),"Fast",AND(AmazonSales[[#This Row],[Delivery Time]]&gt;2),"Slow")</f>
        <v>Slow</v>
      </c>
      <c r="W6">
        <f>IF(AmazonSales[[#This Row],[Delivery performance]]="Fast",1,0)</f>
        <v>0</v>
      </c>
    </row>
    <row r="7" spans="1:23" x14ac:dyDescent="0.3">
      <c r="A7">
        <v>1</v>
      </c>
      <c r="B7" t="s">
        <v>39</v>
      </c>
      <c r="C7" s="1">
        <v>44937</v>
      </c>
      <c r="D7" s="1"/>
      <c r="E7" s="1">
        <v>44968</v>
      </c>
      <c r="F7" t="s">
        <v>40</v>
      </c>
      <c r="G7" t="s">
        <v>37</v>
      </c>
      <c r="H7" t="str">
        <f>_xlfn.XLOOKUP(AmazonSales[[#This Row],[Product ID]],Product_table[Product ID],Product_table[Category])</f>
        <v>Fashion</v>
      </c>
      <c r="I7" t="str">
        <f>_xlfn.XLOOKUP(AmazonSales[[#This Row],[Product ID]],Product_table[Product ID],Product_table[Product Name])</f>
        <v>Jeans</v>
      </c>
      <c r="J7" t="s">
        <v>16</v>
      </c>
      <c r="K7">
        <v>58</v>
      </c>
      <c r="L7">
        <v>4</v>
      </c>
      <c r="M7">
        <v>232</v>
      </c>
      <c r="N7" t="s">
        <v>41</v>
      </c>
      <c r="O7" t="s">
        <v>18</v>
      </c>
      <c r="P7" t="s">
        <v>19</v>
      </c>
      <c r="Q7" t="str">
        <f t="shared" si="0"/>
        <v>Cancelled</v>
      </c>
      <c r="S7">
        <f>IF(AmazonSales[[#This Row],[Order Status]]="Cancelled",1,0)</f>
        <v>1</v>
      </c>
      <c r="T7">
        <f>IF(AmazonSales[[#This Row],[Delivery Status]]="Delivered",1,0)</f>
        <v>0</v>
      </c>
      <c r="U7">
        <f>IF(AmazonSales[[#This Row],[Delivery Status]]="Delivered",AmazonSales[[#This Row],[Total Amount]],0)</f>
        <v>0</v>
      </c>
      <c r="V7" t="str" cm="1">
        <f t="array" ref="V7">_xlfn.IFS(AND(AmazonSales[[#This Row],[Delivery Time]]=""),"",AND(AmazonSales[[#This Row],[Delivery Time]]&lt;=2),"Fast",AND(AmazonSales[[#This Row],[Delivery Time]]&gt;2),"Slow")</f>
        <v/>
      </c>
      <c r="W7">
        <f>IF(AmazonSales[[#This Row],[Delivery performance]]="Fast",1,0)</f>
        <v>0</v>
      </c>
    </row>
    <row r="8" spans="1:23" x14ac:dyDescent="0.3">
      <c r="A8">
        <v>1</v>
      </c>
      <c r="B8" t="s">
        <v>42</v>
      </c>
      <c r="C8" s="1">
        <v>45152</v>
      </c>
      <c r="D8" s="1"/>
      <c r="E8" s="1">
        <v>45156</v>
      </c>
      <c r="F8" t="s">
        <v>43</v>
      </c>
      <c r="G8" t="s">
        <v>44</v>
      </c>
      <c r="H8" t="str">
        <f>_xlfn.XLOOKUP(AmazonSales[[#This Row],[Product ID]],Product_table[Product ID],Product_table[Category])</f>
        <v>Electronics</v>
      </c>
      <c r="I8" t="str">
        <f>_xlfn.XLOOKUP(AmazonSales[[#This Row],[Product ID]],Product_table[Product ID],Product_table[Product Name])</f>
        <v>Bluetooth Speaker</v>
      </c>
      <c r="J8" t="s">
        <v>45</v>
      </c>
      <c r="K8">
        <v>105</v>
      </c>
      <c r="L8">
        <v>3</v>
      </c>
      <c r="M8">
        <v>315</v>
      </c>
      <c r="N8" t="s">
        <v>46</v>
      </c>
      <c r="O8" t="s">
        <v>18</v>
      </c>
      <c r="P8" t="s">
        <v>19</v>
      </c>
      <c r="Q8" t="str">
        <f t="shared" si="0"/>
        <v>Cancelled</v>
      </c>
      <c r="S8">
        <f>IF(AmazonSales[[#This Row],[Order Status]]="Cancelled",1,0)</f>
        <v>1</v>
      </c>
      <c r="T8">
        <f>IF(AmazonSales[[#This Row],[Delivery Status]]="Delivered",1,0)</f>
        <v>0</v>
      </c>
      <c r="U8">
        <f>IF(AmazonSales[[#This Row],[Delivery Status]]="Delivered",AmazonSales[[#This Row],[Total Amount]],0)</f>
        <v>0</v>
      </c>
      <c r="V8" t="str" cm="1">
        <f t="array" ref="V8">_xlfn.IFS(AND(AmazonSales[[#This Row],[Delivery Time]]=""),"",AND(AmazonSales[[#This Row],[Delivery Time]]&lt;=2),"Fast",AND(AmazonSales[[#This Row],[Delivery Time]]&gt;2),"Slow")</f>
        <v/>
      </c>
      <c r="W8">
        <f>IF(AmazonSales[[#This Row],[Delivery performance]]="Fast",1,0)</f>
        <v>0</v>
      </c>
    </row>
    <row r="9" spans="1:23" x14ac:dyDescent="0.3">
      <c r="A9">
        <v>1</v>
      </c>
      <c r="B9" t="s">
        <v>47</v>
      </c>
      <c r="C9" s="1">
        <v>44930</v>
      </c>
      <c r="D9" s="1"/>
      <c r="E9" s="1">
        <v>45081</v>
      </c>
      <c r="F9" t="s">
        <v>48</v>
      </c>
      <c r="G9" t="s">
        <v>49</v>
      </c>
      <c r="H9" t="str">
        <f>_xlfn.XLOOKUP(AmazonSales[[#This Row],[Product ID]],Product_table[Product ID],Product_table[Category])</f>
        <v>Home</v>
      </c>
      <c r="I9" t="str">
        <f>_xlfn.XLOOKUP(AmazonSales[[#This Row],[Product ID]],Product_table[Product ID],Product_table[Product Name])</f>
        <v>Wall Clock</v>
      </c>
      <c r="J9" t="s">
        <v>50</v>
      </c>
      <c r="K9">
        <v>37</v>
      </c>
      <c r="L9">
        <v>5</v>
      </c>
      <c r="M9">
        <v>185</v>
      </c>
      <c r="N9" t="s">
        <v>33</v>
      </c>
      <c r="O9" t="s">
        <v>18</v>
      </c>
      <c r="P9" t="s">
        <v>19</v>
      </c>
      <c r="Q9" t="str">
        <f t="shared" si="0"/>
        <v>Cancelled</v>
      </c>
      <c r="S9">
        <f>IF(AmazonSales[[#This Row],[Order Status]]="Cancelled",1,0)</f>
        <v>1</v>
      </c>
      <c r="T9">
        <f>IF(AmazonSales[[#This Row],[Delivery Status]]="Delivered",1,0)</f>
        <v>0</v>
      </c>
      <c r="U9">
        <f>IF(AmazonSales[[#This Row],[Delivery Status]]="Delivered",AmazonSales[[#This Row],[Total Amount]],0)</f>
        <v>0</v>
      </c>
      <c r="V9" t="str" cm="1">
        <f t="array" ref="V9">_xlfn.IFS(AND(AmazonSales[[#This Row],[Delivery Time]]=""),"",AND(AmazonSales[[#This Row],[Delivery Time]]&lt;=2),"Fast",AND(AmazonSales[[#This Row],[Delivery Time]]&gt;2),"Slow")</f>
        <v/>
      </c>
      <c r="W9">
        <f>IF(AmazonSales[[#This Row],[Delivery performance]]="Fast",1,0)</f>
        <v>0</v>
      </c>
    </row>
    <row r="10" spans="1:23" x14ac:dyDescent="0.3">
      <c r="A10">
        <v>1</v>
      </c>
      <c r="B10" t="s">
        <v>51</v>
      </c>
      <c r="C10" s="1">
        <v>45128</v>
      </c>
      <c r="D10" s="1"/>
      <c r="E10" s="1"/>
      <c r="F10" t="s">
        <v>52</v>
      </c>
      <c r="G10" t="s">
        <v>53</v>
      </c>
      <c r="H10" t="str">
        <f>_xlfn.XLOOKUP(AmazonSales[[#This Row],[Product ID]],Product_table[Product ID],Product_table[Category])</f>
        <v>Fashion</v>
      </c>
      <c r="I10" t="str">
        <f>_xlfn.XLOOKUP(AmazonSales[[#This Row],[Product ID]],Product_table[Product ID],Product_table[Product Name])</f>
        <v>Formal Shirt</v>
      </c>
      <c r="J10" t="s">
        <v>45</v>
      </c>
      <c r="K10">
        <v>44</v>
      </c>
      <c r="L10">
        <v>2</v>
      </c>
      <c r="M10">
        <v>88</v>
      </c>
      <c r="N10" t="s">
        <v>24</v>
      </c>
      <c r="O10" t="s">
        <v>29</v>
      </c>
      <c r="P10" t="s">
        <v>38</v>
      </c>
      <c r="Q10" t="str">
        <f t="shared" si="0"/>
        <v>Active</v>
      </c>
      <c r="S10">
        <f>IF(AmazonSales[[#This Row],[Order Status]]="Cancelled",1,0)</f>
        <v>0</v>
      </c>
      <c r="T10">
        <f>IF(AmazonSales[[#This Row],[Delivery Status]]="Delivered",1,0)</f>
        <v>0</v>
      </c>
      <c r="U10">
        <f>IF(AmazonSales[[#This Row],[Delivery Status]]="Delivered",AmazonSales[[#This Row],[Total Amount]],0)</f>
        <v>0</v>
      </c>
      <c r="V10" t="str" cm="1">
        <f t="array" ref="V10">_xlfn.IFS(AND(AmazonSales[[#This Row],[Delivery Time]]=""),"",AND(AmazonSales[[#This Row],[Delivery Time]]&lt;=2),"Fast",AND(AmazonSales[[#This Row],[Delivery Time]]&gt;2),"Slow")</f>
        <v/>
      </c>
      <c r="W10">
        <f>IF(AmazonSales[[#This Row],[Delivery performance]]="Fast",1,0)</f>
        <v>0</v>
      </c>
    </row>
    <row r="11" spans="1:23" x14ac:dyDescent="0.3">
      <c r="A11">
        <v>1</v>
      </c>
      <c r="B11" t="s">
        <v>54</v>
      </c>
      <c r="C11" s="1">
        <v>45289</v>
      </c>
      <c r="D11" s="1"/>
      <c r="E11" s="1"/>
      <c r="F11" t="s">
        <v>48</v>
      </c>
      <c r="G11" t="s">
        <v>55</v>
      </c>
      <c r="H11" t="str">
        <f>_xlfn.XLOOKUP(AmazonSales[[#This Row],[Product ID]],Product_table[Product ID],Product_table[Category])</f>
        <v>Home</v>
      </c>
      <c r="I11" t="str">
        <f>_xlfn.XLOOKUP(AmazonSales[[#This Row],[Product ID]],Product_table[Product ID],Product_table[Product Name])</f>
        <v>Cookware Set</v>
      </c>
      <c r="J11" t="s">
        <v>28</v>
      </c>
      <c r="K11">
        <v>141</v>
      </c>
      <c r="L11">
        <v>4</v>
      </c>
      <c r="M11">
        <v>564</v>
      </c>
      <c r="N11" t="s">
        <v>46</v>
      </c>
      <c r="O11" t="s">
        <v>29</v>
      </c>
      <c r="P11" t="s">
        <v>19</v>
      </c>
      <c r="Q11" t="str">
        <f t="shared" si="0"/>
        <v>Active</v>
      </c>
      <c r="S11">
        <f>IF(AmazonSales[[#This Row],[Order Status]]="Cancelled",1,0)</f>
        <v>0</v>
      </c>
      <c r="T11">
        <f>IF(AmazonSales[[#This Row],[Delivery Status]]="Delivered",1,0)</f>
        <v>0</v>
      </c>
      <c r="U11">
        <f>IF(AmazonSales[[#This Row],[Delivery Status]]="Delivered",AmazonSales[[#This Row],[Total Amount]],0)</f>
        <v>0</v>
      </c>
      <c r="V11" t="str" cm="1">
        <f t="array" ref="V11">_xlfn.IFS(AND(AmazonSales[[#This Row],[Delivery Time]]=""),"",AND(AmazonSales[[#This Row],[Delivery Time]]&lt;=2),"Fast",AND(AmazonSales[[#This Row],[Delivery Time]]&gt;2),"Slow")</f>
        <v/>
      </c>
      <c r="W11">
        <f>IF(AmazonSales[[#This Row],[Delivery performance]]="Fast",1,0)</f>
        <v>0</v>
      </c>
    </row>
    <row r="12" spans="1:23" x14ac:dyDescent="0.3">
      <c r="A12">
        <v>1</v>
      </c>
      <c r="B12" t="s">
        <v>56</v>
      </c>
      <c r="C12" s="1">
        <v>45021</v>
      </c>
      <c r="D12" s="1"/>
      <c r="E12" s="1">
        <v>45143</v>
      </c>
      <c r="F12" t="s">
        <v>57</v>
      </c>
      <c r="G12" t="s">
        <v>58</v>
      </c>
      <c r="H12" t="str">
        <f>_xlfn.XLOOKUP(AmazonSales[[#This Row],[Product ID]],Product_table[Product ID],Product_table[Category])</f>
        <v>Electronics</v>
      </c>
      <c r="I12" t="str">
        <f>_xlfn.XLOOKUP(AmazonSales[[#This Row],[Product ID]],Product_table[Product ID],Product_table[Product Name])</f>
        <v>Smartwatch</v>
      </c>
      <c r="J12" t="s">
        <v>28</v>
      </c>
      <c r="K12">
        <v>249</v>
      </c>
      <c r="L12">
        <v>1</v>
      </c>
      <c r="M12">
        <v>249</v>
      </c>
      <c r="N12" t="s">
        <v>41</v>
      </c>
      <c r="O12" t="s">
        <v>18</v>
      </c>
      <c r="P12" t="s">
        <v>30</v>
      </c>
      <c r="Q12" t="str">
        <f t="shared" si="0"/>
        <v>Cancelled</v>
      </c>
      <c r="S12">
        <f>IF(AmazonSales[[#This Row],[Order Status]]="Cancelled",1,0)</f>
        <v>1</v>
      </c>
      <c r="T12">
        <f>IF(AmazonSales[[#This Row],[Delivery Status]]="Delivered",1,0)</f>
        <v>0</v>
      </c>
      <c r="U12">
        <f>IF(AmazonSales[[#This Row],[Delivery Status]]="Delivered",AmazonSales[[#This Row],[Total Amount]],0)</f>
        <v>0</v>
      </c>
      <c r="V12" t="str" cm="1">
        <f t="array" ref="V12">_xlfn.IFS(AND(AmazonSales[[#This Row],[Delivery Time]]=""),"",AND(AmazonSales[[#This Row],[Delivery Time]]&lt;=2),"Fast",AND(AmazonSales[[#This Row],[Delivery Time]]&gt;2),"Slow")</f>
        <v/>
      </c>
      <c r="W12">
        <f>IF(AmazonSales[[#This Row],[Delivery performance]]="Fast",1,0)</f>
        <v>0</v>
      </c>
    </row>
    <row r="13" spans="1:23" x14ac:dyDescent="0.3">
      <c r="A13">
        <v>1</v>
      </c>
      <c r="B13" t="s">
        <v>59</v>
      </c>
      <c r="C13" s="1">
        <v>45132</v>
      </c>
      <c r="D13" s="1"/>
      <c r="E13" s="1"/>
      <c r="F13" t="s">
        <v>60</v>
      </c>
      <c r="G13" t="s">
        <v>58</v>
      </c>
      <c r="H13" t="str">
        <f>_xlfn.XLOOKUP(AmazonSales[[#This Row],[Product ID]],Product_table[Product ID],Product_table[Category])</f>
        <v>Electronics</v>
      </c>
      <c r="I13" t="str">
        <f>_xlfn.XLOOKUP(AmazonSales[[#This Row],[Product ID]],Product_table[Product ID],Product_table[Product Name])</f>
        <v>Smartwatch</v>
      </c>
      <c r="J13" t="s">
        <v>45</v>
      </c>
      <c r="K13">
        <v>247</v>
      </c>
      <c r="L13">
        <v>3</v>
      </c>
      <c r="M13">
        <v>741</v>
      </c>
      <c r="N13" t="s">
        <v>41</v>
      </c>
      <c r="O13" t="s">
        <v>29</v>
      </c>
      <c r="P13" t="s">
        <v>61</v>
      </c>
      <c r="Q13" t="str">
        <f t="shared" si="0"/>
        <v>Active</v>
      </c>
      <c r="S13">
        <f>IF(AmazonSales[[#This Row],[Order Status]]="Cancelled",1,0)</f>
        <v>0</v>
      </c>
      <c r="T13">
        <f>IF(AmazonSales[[#This Row],[Delivery Status]]="Delivered",1,0)</f>
        <v>0</v>
      </c>
      <c r="U13">
        <f>IF(AmazonSales[[#This Row],[Delivery Status]]="Delivered",AmazonSales[[#This Row],[Total Amount]],0)</f>
        <v>0</v>
      </c>
      <c r="V13" t="str" cm="1">
        <f t="array" ref="V13">_xlfn.IFS(AND(AmazonSales[[#This Row],[Delivery Time]]=""),"",AND(AmazonSales[[#This Row],[Delivery Time]]&lt;=2),"Fast",AND(AmazonSales[[#This Row],[Delivery Time]]&gt;2),"Slow")</f>
        <v/>
      </c>
      <c r="W13">
        <f>IF(AmazonSales[[#This Row],[Delivery performance]]="Fast",1,0)</f>
        <v>0</v>
      </c>
    </row>
    <row r="14" spans="1:23" x14ac:dyDescent="0.3">
      <c r="A14">
        <v>1</v>
      </c>
      <c r="B14" t="s">
        <v>62</v>
      </c>
      <c r="C14" s="1">
        <v>44982</v>
      </c>
      <c r="D14" s="1"/>
      <c r="E14" s="1">
        <v>44985</v>
      </c>
      <c r="F14" t="s">
        <v>63</v>
      </c>
      <c r="G14" t="s">
        <v>64</v>
      </c>
      <c r="H14" t="str">
        <f>_xlfn.XLOOKUP(AmazonSales[[#This Row],[Product ID]],Product_table[Product ID],Product_table[Category])</f>
        <v>Fashion</v>
      </c>
      <c r="I14" t="str">
        <f>_xlfn.XLOOKUP(AmazonSales[[#This Row],[Product ID]],Product_table[Product ID],Product_table[Product Name])</f>
        <v>Shoes</v>
      </c>
      <c r="J14" t="s">
        <v>45</v>
      </c>
      <c r="K14">
        <v>96</v>
      </c>
      <c r="L14">
        <v>1</v>
      </c>
      <c r="M14">
        <v>96</v>
      </c>
      <c r="N14" t="s">
        <v>17</v>
      </c>
      <c r="O14" t="s">
        <v>18</v>
      </c>
      <c r="P14" t="s">
        <v>38</v>
      </c>
      <c r="Q14" t="str">
        <f t="shared" si="0"/>
        <v>Cancelled</v>
      </c>
      <c r="S14">
        <f>IF(AmazonSales[[#This Row],[Order Status]]="Cancelled",1,0)</f>
        <v>1</v>
      </c>
      <c r="T14">
        <f>IF(AmazonSales[[#This Row],[Delivery Status]]="Delivered",1,0)</f>
        <v>0</v>
      </c>
      <c r="U14">
        <f>IF(AmazonSales[[#This Row],[Delivery Status]]="Delivered",AmazonSales[[#This Row],[Total Amount]],0)</f>
        <v>0</v>
      </c>
      <c r="V14" t="str" cm="1">
        <f t="array" ref="V14">_xlfn.IFS(AND(AmazonSales[[#This Row],[Delivery Time]]=""),"",AND(AmazonSales[[#This Row],[Delivery Time]]&lt;=2),"Fast",AND(AmazonSales[[#This Row],[Delivery Time]]&gt;2),"Slow")</f>
        <v/>
      </c>
      <c r="W14">
        <f>IF(AmazonSales[[#This Row],[Delivery performance]]="Fast",1,0)</f>
        <v>0</v>
      </c>
    </row>
    <row r="15" spans="1:23" x14ac:dyDescent="0.3">
      <c r="A15">
        <v>1</v>
      </c>
      <c r="B15" t="s">
        <v>65</v>
      </c>
      <c r="C15" s="1">
        <v>44981</v>
      </c>
      <c r="D15" s="1"/>
      <c r="E15" s="1">
        <v>44982</v>
      </c>
      <c r="F15" t="s">
        <v>66</v>
      </c>
      <c r="G15" t="s">
        <v>67</v>
      </c>
      <c r="H15" t="str">
        <f>_xlfn.XLOOKUP(AmazonSales[[#This Row],[Product ID]],Product_table[Product ID],Product_table[Category])</f>
        <v>Electronics</v>
      </c>
      <c r="I15" t="str">
        <f>_xlfn.XLOOKUP(AmazonSales[[#This Row],[Product ID]],Product_table[Product ID],Product_table[Product Name])</f>
        <v>Gaming Mouse</v>
      </c>
      <c r="J15" t="s">
        <v>50</v>
      </c>
      <c r="K15">
        <v>74</v>
      </c>
      <c r="L15">
        <v>5</v>
      </c>
      <c r="M15">
        <v>370</v>
      </c>
      <c r="N15" t="s">
        <v>17</v>
      </c>
      <c r="O15" t="s">
        <v>18</v>
      </c>
      <c r="P15" t="s">
        <v>38</v>
      </c>
      <c r="Q15" t="str">
        <f t="shared" si="0"/>
        <v>Cancelled</v>
      </c>
      <c r="S15">
        <f>IF(AmazonSales[[#This Row],[Order Status]]="Cancelled",1,0)</f>
        <v>1</v>
      </c>
      <c r="T15">
        <f>IF(AmazonSales[[#This Row],[Delivery Status]]="Delivered",1,0)</f>
        <v>0</v>
      </c>
      <c r="U15">
        <f>IF(AmazonSales[[#This Row],[Delivery Status]]="Delivered",AmazonSales[[#This Row],[Total Amount]],0)</f>
        <v>0</v>
      </c>
      <c r="V15" t="str" cm="1">
        <f t="array" ref="V15">_xlfn.IFS(AND(AmazonSales[[#This Row],[Delivery Time]]=""),"",AND(AmazonSales[[#This Row],[Delivery Time]]&lt;=2),"Fast",AND(AmazonSales[[#This Row],[Delivery Time]]&gt;2),"Slow")</f>
        <v/>
      </c>
      <c r="W15">
        <f>IF(AmazonSales[[#This Row],[Delivery performance]]="Fast",1,0)</f>
        <v>0</v>
      </c>
    </row>
    <row r="16" spans="1:23" x14ac:dyDescent="0.3">
      <c r="A16">
        <v>1</v>
      </c>
      <c r="B16" t="s">
        <v>68</v>
      </c>
      <c r="C16" s="1">
        <v>45164</v>
      </c>
      <c r="D16" s="1"/>
      <c r="E16" s="1">
        <v>45171</v>
      </c>
      <c r="F16" t="s">
        <v>66</v>
      </c>
      <c r="G16" t="s">
        <v>69</v>
      </c>
      <c r="H16" t="str">
        <f>_xlfn.XLOOKUP(AmazonSales[[#This Row],[Product ID]],Product_table[Product ID],Product_table[Category])</f>
        <v>Fashion</v>
      </c>
      <c r="I16" t="str">
        <f>_xlfn.XLOOKUP(AmazonSales[[#This Row],[Product ID]],Product_table[Product ID],Product_table[Product Name])</f>
        <v>T-Shirt</v>
      </c>
      <c r="J16" t="s">
        <v>28</v>
      </c>
      <c r="K16">
        <v>27</v>
      </c>
      <c r="L16">
        <v>1</v>
      </c>
      <c r="M16">
        <v>27</v>
      </c>
      <c r="N16" t="s">
        <v>24</v>
      </c>
      <c r="O16" t="s">
        <v>18</v>
      </c>
      <c r="P16" t="s">
        <v>38</v>
      </c>
      <c r="Q16" t="str">
        <f t="shared" si="0"/>
        <v>Cancelled</v>
      </c>
      <c r="S16">
        <f>IF(AmazonSales[[#This Row],[Order Status]]="Cancelled",1,0)</f>
        <v>1</v>
      </c>
      <c r="T16">
        <f>IF(AmazonSales[[#This Row],[Delivery Status]]="Delivered",1,0)</f>
        <v>0</v>
      </c>
      <c r="U16">
        <f>IF(AmazonSales[[#This Row],[Delivery Status]]="Delivered",AmazonSales[[#This Row],[Total Amount]],0)</f>
        <v>0</v>
      </c>
      <c r="V16" t="str" cm="1">
        <f t="array" ref="V16">_xlfn.IFS(AND(AmazonSales[[#This Row],[Delivery Time]]=""),"",AND(AmazonSales[[#This Row],[Delivery Time]]&lt;=2),"Fast",AND(AmazonSales[[#This Row],[Delivery Time]]&gt;2),"Slow")</f>
        <v/>
      </c>
      <c r="W16">
        <f>IF(AmazonSales[[#This Row],[Delivery performance]]="Fast",1,0)</f>
        <v>0</v>
      </c>
    </row>
    <row r="17" spans="1:23" x14ac:dyDescent="0.3">
      <c r="A17">
        <v>1</v>
      </c>
      <c r="B17" t="s">
        <v>70</v>
      </c>
      <c r="C17" s="1">
        <v>44970</v>
      </c>
      <c r="D17" s="1"/>
      <c r="E17" s="1"/>
      <c r="F17" t="s">
        <v>71</v>
      </c>
      <c r="G17" t="s">
        <v>69</v>
      </c>
      <c r="H17" t="str">
        <f>_xlfn.XLOOKUP(AmazonSales[[#This Row],[Product ID]],Product_table[Product ID],Product_table[Category])</f>
        <v>Fashion</v>
      </c>
      <c r="I17" t="str">
        <f>_xlfn.XLOOKUP(AmazonSales[[#This Row],[Product ID]],Product_table[Product ID],Product_table[Product Name])</f>
        <v>T-Shirt</v>
      </c>
      <c r="J17" t="s">
        <v>28</v>
      </c>
      <c r="K17">
        <v>27</v>
      </c>
      <c r="L17">
        <v>3</v>
      </c>
      <c r="M17">
        <v>81</v>
      </c>
      <c r="N17" t="s">
        <v>46</v>
      </c>
      <c r="O17" t="s">
        <v>29</v>
      </c>
      <c r="P17" t="s">
        <v>38</v>
      </c>
      <c r="Q17" t="str">
        <f t="shared" si="0"/>
        <v>Active</v>
      </c>
      <c r="S17">
        <f>IF(AmazonSales[[#This Row],[Order Status]]="Cancelled",1,0)</f>
        <v>0</v>
      </c>
      <c r="T17">
        <f>IF(AmazonSales[[#This Row],[Delivery Status]]="Delivered",1,0)</f>
        <v>0</v>
      </c>
      <c r="U17">
        <f>IF(AmazonSales[[#This Row],[Delivery Status]]="Delivered",AmazonSales[[#This Row],[Total Amount]],0)</f>
        <v>0</v>
      </c>
      <c r="V17" t="str" cm="1">
        <f t="array" ref="V17">_xlfn.IFS(AND(AmazonSales[[#This Row],[Delivery Time]]=""),"",AND(AmazonSales[[#This Row],[Delivery Time]]&lt;=2),"Fast",AND(AmazonSales[[#This Row],[Delivery Time]]&gt;2),"Slow")</f>
        <v/>
      </c>
      <c r="W17">
        <f>IF(AmazonSales[[#This Row],[Delivery performance]]="Fast",1,0)</f>
        <v>0</v>
      </c>
    </row>
    <row r="18" spans="1:23" x14ac:dyDescent="0.3">
      <c r="A18">
        <v>1</v>
      </c>
      <c r="B18" t="s">
        <v>72</v>
      </c>
      <c r="C18" s="1">
        <v>45105</v>
      </c>
      <c r="D18" s="1">
        <v>45108</v>
      </c>
      <c r="E18" s="1"/>
      <c r="F18" t="s">
        <v>60</v>
      </c>
      <c r="G18" t="s">
        <v>73</v>
      </c>
      <c r="H18" t="str">
        <f>_xlfn.XLOOKUP(AmazonSales[[#This Row],[Product ID]],Product_table[Product ID],Product_table[Category])</f>
        <v>Books</v>
      </c>
      <c r="I18" t="str">
        <f>_xlfn.XLOOKUP(AmazonSales[[#This Row],[Product ID]],Product_table[Product ID],Product_table[Product Name])</f>
        <v>Novel</v>
      </c>
      <c r="J18" t="s">
        <v>23</v>
      </c>
      <c r="K18">
        <v>21</v>
      </c>
      <c r="L18">
        <v>3</v>
      </c>
      <c r="M18">
        <v>63</v>
      </c>
      <c r="N18" t="s">
        <v>24</v>
      </c>
      <c r="O18" t="s">
        <v>25</v>
      </c>
      <c r="P18" t="s">
        <v>19</v>
      </c>
      <c r="Q18" t="str">
        <f t="shared" si="0"/>
        <v>Active</v>
      </c>
      <c r="R18">
        <f>DATEDIF(AmazonSales[[#This Row],[Order Date]],AmazonSales[[#This Row],[Delivery Date]],"d")</f>
        <v>3</v>
      </c>
      <c r="S18">
        <f>IF(AmazonSales[[#This Row],[Order Status]]="Cancelled",1,0)</f>
        <v>0</v>
      </c>
      <c r="T18">
        <f>IF(AmazonSales[[#This Row],[Delivery Status]]="Delivered",1,0)</f>
        <v>1</v>
      </c>
      <c r="U18">
        <f>IF(AmazonSales[[#This Row],[Delivery Status]]="Delivered",AmazonSales[[#This Row],[Total Amount]],0)</f>
        <v>63</v>
      </c>
      <c r="V18" t="str" cm="1">
        <f t="array" ref="V18">_xlfn.IFS(AND(AmazonSales[[#This Row],[Delivery Time]]=""),"",AND(AmazonSales[[#This Row],[Delivery Time]]&lt;=2),"Fast",AND(AmazonSales[[#This Row],[Delivery Time]]&gt;2),"Slow")</f>
        <v>Slow</v>
      </c>
      <c r="W18">
        <f>IF(AmazonSales[[#This Row],[Delivery performance]]="Fast",1,0)</f>
        <v>0</v>
      </c>
    </row>
    <row r="19" spans="1:23" x14ac:dyDescent="0.3">
      <c r="A19">
        <v>1</v>
      </c>
      <c r="B19" t="s">
        <v>74</v>
      </c>
      <c r="C19" s="1">
        <v>45258</v>
      </c>
      <c r="D19" s="1"/>
      <c r="E19" s="1"/>
      <c r="F19" t="s">
        <v>75</v>
      </c>
      <c r="G19" t="s">
        <v>76</v>
      </c>
      <c r="H19" t="str">
        <f>_xlfn.XLOOKUP(AmazonSales[[#This Row],[Product ID]],Product_table[Product ID],Product_table[Category])</f>
        <v>Books</v>
      </c>
      <c r="I19" t="str">
        <f>_xlfn.XLOOKUP(AmazonSales[[#This Row],[Product ID]],Product_table[Product ID],Product_table[Product Name])</f>
        <v>Textbook</v>
      </c>
      <c r="J19" t="s">
        <v>50</v>
      </c>
      <c r="K19">
        <v>70</v>
      </c>
      <c r="L19">
        <v>5</v>
      </c>
      <c r="M19">
        <v>350</v>
      </c>
      <c r="N19" t="s">
        <v>33</v>
      </c>
      <c r="O19" t="s">
        <v>29</v>
      </c>
      <c r="P19" t="s">
        <v>38</v>
      </c>
      <c r="Q19" t="str">
        <f t="shared" si="0"/>
        <v>Active</v>
      </c>
      <c r="S19">
        <f>IF(AmazonSales[[#This Row],[Order Status]]="Cancelled",1,0)</f>
        <v>0</v>
      </c>
      <c r="T19">
        <f>IF(AmazonSales[[#This Row],[Delivery Status]]="Delivered",1,0)</f>
        <v>0</v>
      </c>
      <c r="U19">
        <f>IF(AmazonSales[[#This Row],[Delivery Status]]="Delivered",AmazonSales[[#This Row],[Total Amount]],0)</f>
        <v>0</v>
      </c>
      <c r="V19" t="str" cm="1">
        <f t="array" ref="V19">_xlfn.IFS(AND(AmazonSales[[#This Row],[Delivery Time]]=""),"",AND(AmazonSales[[#This Row],[Delivery Time]]&lt;=2),"Fast",AND(AmazonSales[[#This Row],[Delivery Time]]&gt;2),"Slow")</f>
        <v/>
      </c>
      <c r="W19">
        <f>IF(AmazonSales[[#This Row],[Delivery performance]]="Fast",1,0)</f>
        <v>0</v>
      </c>
    </row>
    <row r="20" spans="1:23" x14ac:dyDescent="0.3">
      <c r="A20">
        <v>1</v>
      </c>
      <c r="B20" t="s">
        <v>77</v>
      </c>
      <c r="C20" s="1">
        <v>45163</v>
      </c>
      <c r="D20" s="1"/>
      <c r="E20" s="1"/>
      <c r="F20" t="s">
        <v>78</v>
      </c>
      <c r="G20" t="s">
        <v>64</v>
      </c>
      <c r="H20" t="str">
        <f>_xlfn.XLOOKUP(AmazonSales[[#This Row],[Product ID]],Product_table[Product ID],Product_table[Category])</f>
        <v>Fashion</v>
      </c>
      <c r="I20" t="str">
        <f>_xlfn.XLOOKUP(AmazonSales[[#This Row],[Product ID]],Product_table[Product ID],Product_table[Product Name])</f>
        <v>Shoes</v>
      </c>
      <c r="J20" t="s">
        <v>28</v>
      </c>
      <c r="K20">
        <v>94</v>
      </c>
      <c r="L20">
        <v>4</v>
      </c>
      <c r="M20">
        <v>376</v>
      </c>
      <c r="N20" t="s">
        <v>24</v>
      </c>
      <c r="O20" t="s">
        <v>29</v>
      </c>
      <c r="P20" t="s">
        <v>30</v>
      </c>
      <c r="Q20" t="str">
        <f t="shared" si="0"/>
        <v>Active</v>
      </c>
      <c r="S20">
        <f>IF(AmazonSales[[#This Row],[Order Status]]="Cancelled",1,0)</f>
        <v>0</v>
      </c>
      <c r="T20">
        <f>IF(AmazonSales[[#This Row],[Delivery Status]]="Delivered",1,0)</f>
        <v>0</v>
      </c>
      <c r="U20">
        <f>IF(AmazonSales[[#This Row],[Delivery Status]]="Delivered",AmazonSales[[#This Row],[Total Amount]],0)</f>
        <v>0</v>
      </c>
      <c r="V20" t="str" cm="1">
        <f t="array" ref="V20">_xlfn.IFS(AND(AmazonSales[[#This Row],[Delivery Time]]=""),"",AND(AmazonSales[[#This Row],[Delivery Time]]&lt;=2),"Fast",AND(AmazonSales[[#This Row],[Delivery Time]]&gt;2),"Slow")</f>
        <v/>
      </c>
      <c r="W20">
        <f>IF(AmazonSales[[#This Row],[Delivery performance]]="Fast",1,0)</f>
        <v>0</v>
      </c>
    </row>
    <row r="21" spans="1:23" x14ac:dyDescent="0.3">
      <c r="A21">
        <v>1</v>
      </c>
      <c r="B21" t="s">
        <v>79</v>
      </c>
      <c r="C21" s="1">
        <v>45264</v>
      </c>
      <c r="D21" s="1"/>
      <c r="E21" s="1"/>
      <c r="F21" t="s">
        <v>80</v>
      </c>
      <c r="G21" t="s">
        <v>81</v>
      </c>
      <c r="H21" t="str">
        <f>_xlfn.XLOOKUP(AmazonSales[[#This Row],[Product ID]],Product_table[Product ID],Product_table[Category])</f>
        <v>Electronics</v>
      </c>
      <c r="I21" t="str">
        <f>_xlfn.XLOOKUP(AmazonSales[[#This Row],[Product ID]],Product_table[Product ID],Product_table[Product Name])</f>
        <v>Smartphone</v>
      </c>
      <c r="J21" t="s">
        <v>16</v>
      </c>
      <c r="K21">
        <v>813</v>
      </c>
      <c r="L21">
        <v>2</v>
      </c>
      <c r="M21">
        <v>1626</v>
      </c>
      <c r="N21" t="s">
        <v>24</v>
      </c>
      <c r="O21" t="s">
        <v>29</v>
      </c>
      <c r="P21" t="s">
        <v>61</v>
      </c>
      <c r="Q21" t="str">
        <f t="shared" si="0"/>
        <v>Active</v>
      </c>
      <c r="S21">
        <f>IF(AmazonSales[[#This Row],[Order Status]]="Cancelled",1,0)</f>
        <v>0</v>
      </c>
      <c r="T21">
        <f>IF(AmazonSales[[#This Row],[Delivery Status]]="Delivered",1,0)</f>
        <v>0</v>
      </c>
      <c r="U21">
        <f>IF(AmazonSales[[#This Row],[Delivery Status]]="Delivered",AmazonSales[[#This Row],[Total Amount]],0)</f>
        <v>0</v>
      </c>
      <c r="V21" t="str" cm="1">
        <f t="array" ref="V21">_xlfn.IFS(AND(AmazonSales[[#This Row],[Delivery Time]]=""),"",AND(AmazonSales[[#This Row],[Delivery Time]]&lt;=2),"Fast",AND(AmazonSales[[#This Row],[Delivery Time]]&gt;2),"Slow")</f>
        <v/>
      </c>
      <c r="W21">
        <f>IF(AmazonSales[[#This Row],[Delivery performance]]="Fast",1,0)</f>
        <v>0</v>
      </c>
    </row>
    <row r="22" spans="1:23" x14ac:dyDescent="0.3">
      <c r="A22">
        <v>1</v>
      </c>
      <c r="B22" t="s">
        <v>82</v>
      </c>
      <c r="C22" s="1">
        <v>44967</v>
      </c>
      <c r="D22" s="1"/>
      <c r="E22" s="1"/>
      <c r="F22" t="s">
        <v>52</v>
      </c>
      <c r="G22" t="s">
        <v>73</v>
      </c>
      <c r="H22" t="str">
        <f>_xlfn.XLOOKUP(AmazonSales[[#This Row],[Product ID]],Product_table[Product ID],Product_table[Category])</f>
        <v>Books</v>
      </c>
      <c r="I22" t="str">
        <f>_xlfn.XLOOKUP(AmazonSales[[#This Row],[Product ID]],Product_table[Product ID],Product_table[Product Name])</f>
        <v>Novel</v>
      </c>
      <c r="J22" t="s">
        <v>45</v>
      </c>
      <c r="K22">
        <v>21</v>
      </c>
      <c r="L22">
        <v>4</v>
      </c>
      <c r="M22">
        <v>84</v>
      </c>
      <c r="N22" t="s">
        <v>33</v>
      </c>
      <c r="O22" t="s">
        <v>29</v>
      </c>
      <c r="P22" t="s">
        <v>38</v>
      </c>
      <c r="Q22" t="str">
        <f t="shared" si="0"/>
        <v>Active</v>
      </c>
      <c r="S22">
        <f>IF(AmazonSales[[#This Row],[Order Status]]="Cancelled",1,0)</f>
        <v>0</v>
      </c>
      <c r="T22">
        <f>IF(AmazonSales[[#This Row],[Delivery Status]]="Delivered",1,0)</f>
        <v>0</v>
      </c>
      <c r="U22">
        <f>IF(AmazonSales[[#This Row],[Delivery Status]]="Delivered",AmazonSales[[#This Row],[Total Amount]],0)</f>
        <v>0</v>
      </c>
      <c r="V22" t="str" cm="1">
        <f t="array" ref="V22">_xlfn.IFS(AND(AmazonSales[[#This Row],[Delivery Time]]=""),"",AND(AmazonSales[[#This Row],[Delivery Time]]&lt;=2),"Fast",AND(AmazonSales[[#This Row],[Delivery Time]]&gt;2),"Slow")</f>
        <v/>
      </c>
      <c r="W22">
        <f>IF(AmazonSales[[#This Row],[Delivery performance]]="Fast",1,0)</f>
        <v>0</v>
      </c>
    </row>
    <row r="23" spans="1:23" x14ac:dyDescent="0.3">
      <c r="A23">
        <v>1</v>
      </c>
      <c r="B23" t="s">
        <v>83</v>
      </c>
      <c r="C23" s="1">
        <v>45180</v>
      </c>
      <c r="D23" s="1"/>
      <c r="E23" s="1"/>
      <c r="F23" t="s">
        <v>63</v>
      </c>
      <c r="G23" t="s">
        <v>15</v>
      </c>
      <c r="H23" t="str">
        <f>_xlfn.XLOOKUP(AmazonSales[[#This Row],[Product ID]],Product_table[Product ID],Product_table[Category])</f>
        <v>Home</v>
      </c>
      <c r="I23" t="str">
        <f>_xlfn.XLOOKUP(AmazonSales[[#This Row],[Product ID]],Product_table[Product ID],Product_table[Product Name])</f>
        <v>Lamp</v>
      </c>
      <c r="J23" t="s">
        <v>50</v>
      </c>
      <c r="K23">
        <v>46</v>
      </c>
      <c r="L23">
        <v>5</v>
      </c>
      <c r="M23">
        <v>230</v>
      </c>
      <c r="N23" t="s">
        <v>33</v>
      </c>
      <c r="O23" t="s">
        <v>29</v>
      </c>
      <c r="P23" t="s">
        <v>30</v>
      </c>
      <c r="Q23" t="str">
        <f t="shared" si="0"/>
        <v>Active</v>
      </c>
      <c r="S23">
        <f>IF(AmazonSales[[#This Row],[Order Status]]="Cancelled",1,0)</f>
        <v>0</v>
      </c>
      <c r="T23">
        <f>IF(AmazonSales[[#This Row],[Delivery Status]]="Delivered",1,0)</f>
        <v>0</v>
      </c>
      <c r="U23">
        <f>IF(AmazonSales[[#This Row],[Delivery Status]]="Delivered",AmazonSales[[#This Row],[Total Amount]],0)</f>
        <v>0</v>
      </c>
      <c r="V23" t="str" cm="1">
        <f t="array" ref="V23">_xlfn.IFS(AND(AmazonSales[[#This Row],[Delivery Time]]=""),"",AND(AmazonSales[[#This Row],[Delivery Time]]&lt;=2),"Fast",AND(AmazonSales[[#This Row],[Delivery Time]]&gt;2),"Slow")</f>
        <v/>
      </c>
      <c r="W23">
        <f>IF(AmazonSales[[#This Row],[Delivery performance]]="Fast",1,0)</f>
        <v>0</v>
      </c>
    </row>
    <row r="24" spans="1:23" x14ac:dyDescent="0.3">
      <c r="A24">
        <v>1</v>
      </c>
      <c r="B24" t="s">
        <v>84</v>
      </c>
      <c r="C24" s="1">
        <v>44970</v>
      </c>
      <c r="D24" s="1"/>
      <c r="E24" s="1">
        <v>44971</v>
      </c>
      <c r="F24" t="s">
        <v>85</v>
      </c>
      <c r="G24" t="s">
        <v>37</v>
      </c>
      <c r="H24" t="str">
        <f>_xlfn.XLOOKUP(AmazonSales[[#This Row],[Product ID]],Product_table[Product ID],Product_table[Category])</f>
        <v>Fashion</v>
      </c>
      <c r="I24" t="str">
        <f>_xlfn.XLOOKUP(AmazonSales[[#This Row],[Product ID]],Product_table[Product ID],Product_table[Product Name])</f>
        <v>Jeans</v>
      </c>
      <c r="J24" t="s">
        <v>50</v>
      </c>
      <c r="K24">
        <v>58</v>
      </c>
      <c r="L24">
        <v>3</v>
      </c>
      <c r="M24">
        <v>174</v>
      </c>
      <c r="N24" t="s">
        <v>41</v>
      </c>
      <c r="O24" t="s">
        <v>18</v>
      </c>
      <c r="P24" t="s">
        <v>38</v>
      </c>
      <c r="Q24" t="str">
        <f t="shared" si="0"/>
        <v>Cancelled</v>
      </c>
      <c r="S24">
        <f>IF(AmazonSales[[#This Row],[Order Status]]="Cancelled",1,0)</f>
        <v>1</v>
      </c>
      <c r="T24">
        <f>IF(AmazonSales[[#This Row],[Delivery Status]]="Delivered",1,0)</f>
        <v>0</v>
      </c>
      <c r="U24">
        <f>IF(AmazonSales[[#This Row],[Delivery Status]]="Delivered",AmazonSales[[#This Row],[Total Amount]],0)</f>
        <v>0</v>
      </c>
      <c r="V24" t="str" cm="1">
        <f t="array" ref="V24">_xlfn.IFS(AND(AmazonSales[[#This Row],[Delivery Time]]=""),"",AND(AmazonSales[[#This Row],[Delivery Time]]&lt;=2),"Fast",AND(AmazonSales[[#This Row],[Delivery Time]]&gt;2),"Slow")</f>
        <v/>
      </c>
      <c r="W24">
        <f>IF(AmazonSales[[#This Row],[Delivery performance]]="Fast",1,0)</f>
        <v>0</v>
      </c>
    </row>
    <row r="25" spans="1:23" x14ac:dyDescent="0.3">
      <c r="A25">
        <v>1</v>
      </c>
      <c r="B25" t="s">
        <v>86</v>
      </c>
      <c r="C25" s="1">
        <v>45232</v>
      </c>
      <c r="D25" s="1">
        <v>45235</v>
      </c>
      <c r="E25" s="1"/>
      <c r="F25" t="s">
        <v>87</v>
      </c>
      <c r="G25" t="s">
        <v>64</v>
      </c>
      <c r="H25" t="str">
        <f>_xlfn.XLOOKUP(AmazonSales[[#This Row],[Product ID]],Product_table[Product ID],Product_table[Category])</f>
        <v>Fashion</v>
      </c>
      <c r="I25" t="str">
        <f>_xlfn.XLOOKUP(AmazonSales[[#This Row],[Product ID]],Product_table[Product ID],Product_table[Product Name])</f>
        <v>Shoes</v>
      </c>
      <c r="J25" t="s">
        <v>50</v>
      </c>
      <c r="K25">
        <v>96</v>
      </c>
      <c r="L25">
        <v>5</v>
      </c>
      <c r="M25">
        <v>480</v>
      </c>
      <c r="N25" t="s">
        <v>41</v>
      </c>
      <c r="O25" t="s">
        <v>25</v>
      </c>
      <c r="P25" t="s">
        <v>38</v>
      </c>
      <c r="Q25" t="str">
        <f t="shared" si="0"/>
        <v>Active</v>
      </c>
      <c r="R25">
        <f>DATEDIF(AmazonSales[[#This Row],[Order Date]],AmazonSales[[#This Row],[Delivery Date]],"d")</f>
        <v>3</v>
      </c>
      <c r="S25">
        <f>IF(AmazonSales[[#This Row],[Order Status]]="Cancelled",1,0)</f>
        <v>0</v>
      </c>
      <c r="T25">
        <f>IF(AmazonSales[[#This Row],[Delivery Status]]="Delivered",1,0)</f>
        <v>1</v>
      </c>
      <c r="U25">
        <f>IF(AmazonSales[[#This Row],[Delivery Status]]="Delivered",AmazonSales[[#This Row],[Total Amount]],0)</f>
        <v>480</v>
      </c>
      <c r="V25" t="str" cm="1">
        <f t="array" ref="V25">_xlfn.IFS(AND(AmazonSales[[#This Row],[Delivery Time]]=""),"",AND(AmazonSales[[#This Row],[Delivery Time]]&lt;=2),"Fast",AND(AmazonSales[[#This Row],[Delivery Time]]&gt;2),"Slow")</f>
        <v>Slow</v>
      </c>
      <c r="W25">
        <f>IF(AmazonSales[[#This Row],[Delivery performance]]="Fast",1,0)</f>
        <v>0</v>
      </c>
    </row>
    <row r="26" spans="1:23" x14ac:dyDescent="0.3">
      <c r="A26">
        <v>1</v>
      </c>
      <c r="B26" t="s">
        <v>88</v>
      </c>
      <c r="C26" s="1">
        <v>45074</v>
      </c>
      <c r="D26" s="1">
        <v>45076</v>
      </c>
      <c r="E26" s="1"/>
      <c r="F26" t="s">
        <v>89</v>
      </c>
      <c r="G26" t="s">
        <v>90</v>
      </c>
      <c r="H26" t="str">
        <f>_xlfn.XLOOKUP(AmazonSales[[#This Row],[Product ID]],Product_table[Product ID],Product_table[Category])</f>
        <v>Toys</v>
      </c>
      <c r="I26" t="str">
        <f>_xlfn.XLOOKUP(AmazonSales[[#This Row],[Product ID]],Product_table[Product ID],Product_table[Product Name])</f>
        <v>Action Figure</v>
      </c>
      <c r="J26" t="s">
        <v>28</v>
      </c>
      <c r="K26">
        <v>43</v>
      </c>
      <c r="L26">
        <v>1</v>
      </c>
      <c r="M26">
        <v>43</v>
      </c>
      <c r="N26" t="s">
        <v>46</v>
      </c>
      <c r="O26" t="s">
        <v>25</v>
      </c>
      <c r="P26" t="s">
        <v>38</v>
      </c>
      <c r="Q26" t="str">
        <f t="shared" si="0"/>
        <v>Active</v>
      </c>
      <c r="R26">
        <f>DATEDIF(AmazonSales[[#This Row],[Order Date]],AmazonSales[[#This Row],[Delivery Date]],"d")</f>
        <v>2</v>
      </c>
      <c r="S26">
        <f>IF(AmazonSales[[#This Row],[Order Status]]="Cancelled",1,0)</f>
        <v>0</v>
      </c>
      <c r="T26">
        <f>IF(AmazonSales[[#This Row],[Delivery Status]]="Delivered",1,0)</f>
        <v>1</v>
      </c>
      <c r="U26">
        <f>IF(AmazonSales[[#This Row],[Delivery Status]]="Delivered",AmazonSales[[#This Row],[Total Amount]],0)</f>
        <v>43</v>
      </c>
      <c r="V26" t="str" cm="1">
        <f t="array" ref="V26">_xlfn.IFS(AND(AmazonSales[[#This Row],[Delivery Time]]=""),"",AND(AmazonSales[[#This Row],[Delivery Time]]&lt;=2),"Fast",AND(AmazonSales[[#This Row],[Delivery Time]]&gt;2),"Slow")</f>
        <v>Fast</v>
      </c>
      <c r="W26">
        <f>IF(AmazonSales[[#This Row],[Delivery performance]]="Fast",1,0)</f>
        <v>1</v>
      </c>
    </row>
    <row r="27" spans="1:23" x14ac:dyDescent="0.3">
      <c r="A27">
        <v>1</v>
      </c>
      <c r="B27" t="s">
        <v>91</v>
      </c>
      <c r="C27" s="1">
        <v>45214</v>
      </c>
      <c r="D27" s="1">
        <v>45220</v>
      </c>
      <c r="E27" s="1"/>
      <c r="F27" t="s">
        <v>36</v>
      </c>
      <c r="G27" t="s">
        <v>92</v>
      </c>
      <c r="H27" t="str">
        <f>_xlfn.XLOOKUP(AmazonSales[[#This Row],[Product ID]],Product_table[Product ID],Product_table[Category])</f>
        <v>Fashion</v>
      </c>
      <c r="I27" t="str">
        <f>_xlfn.XLOOKUP(AmazonSales[[#This Row],[Product ID]],Product_table[Product ID],Product_table[Product Name])</f>
        <v>Backpack</v>
      </c>
      <c r="J27" t="s">
        <v>28</v>
      </c>
      <c r="K27">
        <v>64</v>
      </c>
      <c r="L27">
        <v>4</v>
      </c>
      <c r="M27">
        <v>256</v>
      </c>
      <c r="N27" t="s">
        <v>46</v>
      </c>
      <c r="O27" t="s">
        <v>25</v>
      </c>
      <c r="P27" t="s">
        <v>30</v>
      </c>
      <c r="Q27" t="str">
        <f t="shared" si="0"/>
        <v>Active</v>
      </c>
      <c r="R27">
        <f>DATEDIF(AmazonSales[[#This Row],[Order Date]],AmazonSales[[#This Row],[Delivery Date]],"d")</f>
        <v>6</v>
      </c>
      <c r="S27">
        <f>IF(AmazonSales[[#This Row],[Order Status]]="Cancelled",1,0)</f>
        <v>0</v>
      </c>
      <c r="T27">
        <f>IF(AmazonSales[[#This Row],[Delivery Status]]="Delivered",1,0)</f>
        <v>1</v>
      </c>
      <c r="U27">
        <f>IF(AmazonSales[[#This Row],[Delivery Status]]="Delivered",AmazonSales[[#This Row],[Total Amount]],0)</f>
        <v>256</v>
      </c>
      <c r="V27" t="str" cm="1">
        <f t="array" ref="V27">_xlfn.IFS(AND(AmazonSales[[#This Row],[Delivery Time]]=""),"",AND(AmazonSales[[#This Row],[Delivery Time]]&lt;=2),"Fast",AND(AmazonSales[[#This Row],[Delivery Time]]&gt;2),"Slow")</f>
        <v>Slow</v>
      </c>
      <c r="W27">
        <f>IF(AmazonSales[[#This Row],[Delivery performance]]="Fast",1,0)</f>
        <v>0</v>
      </c>
    </row>
    <row r="28" spans="1:23" x14ac:dyDescent="0.3">
      <c r="A28">
        <v>1</v>
      </c>
      <c r="B28" t="s">
        <v>93</v>
      </c>
      <c r="C28" s="1">
        <v>44942</v>
      </c>
      <c r="D28" s="1"/>
      <c r="E28" s="1"/>
      <c r="F28" t="s">
        <v>94</v>
      </c>
      <c r="G28" t="s">
        <v>76</v>
      </c>
      <c r="H28" t="str">
        <f>_xlfn.XLOOKUP(AmazonSales[[#This Row],[Product ID]],Product_table[Product ID],Product_table[Category])</f>
        <v>Books</v>
      </c>
      <c r="I28" t="str">
        <f>_xlfn.XLOOKUP(AmazonSales[[#This Row],[Product ID]],Product_table[Product ID],Product_table[Product Name])</f>
        <v>Textbook</v>
      </c>
      <c r="J28" t="s">
        <v>28</v>
      </c>
      <c r="K28">
        <v>70</v>
      </c>
      <c r="L28">
        <v>2</v>
      </c>
      <c r="M28">
        <v>140</v>
      </c>
      <c r="N28" t="s">
        <v>41</v>
      </c>
      <c r="O28" t="s">
        <v>29</v>
      </c>
      <c r="P28" t="s">
        <v>38</v>
      </c>
      <c r="Q28" t="str">
        <f t="shared" si="0"/>
        <v>Active</v>
      </c>
      <c r="S28">
        <f>IF(AmazonSales[[#This Row],[Order Status]]="Cancelled",1,0)</f>
        <v>0</v>
      </c>
      <c r="T28">
        <f>IF(AmazonSales[[#This Row],[Delivery Status]]="Delivered",1,0)</f>
        <v>0</v>
      </c>
      <c r="U28">
        <f>IF(AmazonSales[[#This Row],[Delivery Status]]="Delivered",AmazonSales[[#This Row],[Total Amount]],0)</f>
        <v>0</v>
      </c>
      <c r="V28" t="str" cm="1">
        <f t="array" ref="V28">_xlfn.IFS(AND(AmazonSales[[#This Row],[Delivery Time]]=""),"",AND(AmazonSales[[#This Row],[Delivery Time]]&lt;=2),"Fast",AND(AmazonSales[[#This Row],[Delivery Time]]&gt;2),"Slow")</f>
        <v/>
      </c>
      <c r="W28">
        <f>IF(AmazonSales[[#This Row],[Delivery performance]]="Fast",1,0)</f>
        <v>0</v>
      </c>
    </row>
    <row r="29" spans="1:23" x14ac:dyDescent="0.3">
      <c r="A29">
        <v>1</v>
      </c>
      <c r="B29" t="s">
        <v>95</v>
      </c>
      <c r="C29" s="1">
        <v>45179</v>
      </c>
      <c r="D29" s="1"/>
      <c r="E29" s="1"/>
      <c r="F29" t="s">
        <v>94</v>
      </c>
      <c r="G29" t="s">
        <v>22</v>
      </c>
      <c r="H29" t="str">
        <f>_xlfn.XLOOKUP(AmazonSales[[#This Row],[Product ID]],Product_table[Product ID],Product_table[Category])</f>
        <v>Toys</v>
      </c>
      <c r="I29" t="str">
        <f>_xlfn.XLOOKUP(AmazonSales[[#This Row],[Product ID]],Product_table[Product ID],Product_table[Product Name])</f>
        <v>Doll House</v>
      </c>
      <c r="J29" t="s">
        <v>45</v>
      </c>
      <c r="K29">
        <v>97</v>
      </c>
      <c r="L29">
        <v>3</v>
      </c>
      <c r="M29">
        <v>291</v>
      </c>
      <c r="N29" t="s">
        <v>24</v>
      </c>
      <c r="O29" t="s">
        <v>29</v>
      </c>
      <c r="P29" t="s">
        <v>38</v>
      </c>
      <c r="Q29" t="str">
        <f t="shared" si="0"/>
        <v>Active</v>
      </c>
      <c r="S29">
        <f>IF(AmazonSales[[#This Row],[Order Status]]="Cancelled",1,0)</f>
        <v>0</v>
      </c>
      <c r="T29">
        <f>IF(AmazonSales[[#This Row],[Delivery Status]]="Delivered",1,0)</f>
        <v>0</v>
      </c>
      <c r="U29">
        <f>IF(AmazonSales[[#This Row],[Delivery Status]]="Delivered",AmazonSales[[#This Row],[Total Amount]],0)</f>
        <v>0</v>
      </c>
      <c r="V29" t="str" cm="1">
        <f t="array" ref="V29">_xlfn.IFS(AND(AmazonSales[[#This Row],[Delivery Time]]=""),"",AND(AmazonSales[[#This Row],[Delivery Time]]&lt;=2),"Fast",AND(AmazonSales[[#This Row],[Delivery Time]]&gt;2),"Slow")</f>
        <v/>
      </c>
      <c r="W29">
        <f>IF(AmazonSales[[#This Row],[Delivery performance]]="Fast",1,0)</f>
        <v>0</v>
      </c>
    </row>
    <row r="30" spans="1:23" x14ac:dyDescent="0.3">
      <c r="A30">
        <v>1</v>
      </c>
      <c r="B30" t="s">
        <v>96</v>
      </c>
      <c r="C30" s="1">
        <v>45117</v>
      </c>
      <c r="D30" s="1"/>
      <c r="E30" s="1">
        <v>45209</v>
      </c>
      <c r="F30" t="s">
        <v>97</v>
      </c>
      <c r="G30" t="s">
        <v>49</v>
      </c>
      <c r="H30" t="str">
        <f>_xlfn.XLOOKUP(AmazonSales[[#This Row],[Product ID]],Product_table[Product ID],Product_table[Category])</f>
        <v>Home</v>
      </c>
      <c r="I30" t="str">
        <f>_xlfn.XLOOKUP(AmazonSales[[#This Row],[Product ID]],Product_table[Product ID],Product_table[Product Name])</f>
        <v>Wall Clock</v>
      </c>
      <c r="J30" t="s">
        <v>23</v>
      </c>
      <c r="K30">
        <v>37</v>
      </c>
      <c r="L30">
        <v>3</v>
      </c>
      <c r="M30">
        <v>111</v>
      </c>
      <c r="N30" t="s">
        <v>17</v>
      </c>
      <c r="O30" t="s">
        <v>18</v>
      </c>
      <c r="P30" t="s">
        <v>19</v>
      </c>
      <c r="Q30" t="str">
        <f t="shared" si="0"/>
        <v>Cancelled</v>
      </c>
      <c r="S30">
        <f>IF(AmazonSales[[#This Row],[Order Status]]="Cancelled",1,0)</f>
        <v>1</v>
      </c>
      <c r="T30">
        <f>IF(AmazonSales[[#This Row],[Delivery Status]]="Delivered",1,0)</f>
        <v>0</v>
      </c>
      <c r="U30">
        <f>IF(AmazonSales[[#This Row],[Delivery Status]]="Delivered",AmazonSales[[#This Row],[Total Amount]],0)</f>
        <v>0</v>
      </c>
      <c r="V30" t="str" cm="1">
        <f t="array" ref="V30">_xlfn.IFS(AND(AmazonSales[[#This Row],[Delivery Time]]=""),"",AND(AmazonSales[[#This Row],[Delivery Time]]&lt;=2),"Fast",AND(AmazonSales[[#This Row],[Delivery Time]]&gt;2),"Slow")</f>
        <v/>
      </c>
      <c r="W30">
        <f>IF(AmazonSales[[#This Row],[Delivery performance]]="Fast",1,0)</f>
        <v>0</v>
      </c>
    </row>
    <row r="31" spans="1:23" x14ac:dyDescent="0.3">
      <c r="A31">
        <v>1</v>
      </c>
      <c r="B31" t="s">
        <v>98</v>
      </c>
      <c r="C31" s="1">
        <v>44971</v>
      </c>
      <c r="D31" s="1"/>
      <c r="E31" s="1"/>
      <c r="F31" t="s">
        <v>99</v>
      </c>
      <c r="G31" t="s">
        <v>76</v>
      </c>
      <c r="H31" t="str">
        <f>_xlfn.XLOOKUP(AmazonSales[[#This Row],[Product ID]],Product_table[Product ID],Product_table[Category])</f>
        <v>Books</v>
      </c>
      <c r="I31" t="str">
        <f>_xlfn.XLOOKUP(AmazonSales[[#This Row],[Product ID]],Product_table[Product ID],Product_table[Product Name])</f>
        <v>Textbook</v>
      </c>
      <c r="J31" t="s">
        <v>16</v>
      </c>
      <c r="K31">
        <v>69</v>
      </c>
      <c r="L31">
        <v>5</v>
      </c>
      <c r="M31">
        <v>345</v>
      </c>
      <c r="N31" t="s">
        <v>41</v>
      </c>
      <c r="O31" t="s">
        <v>29</v>
      </c>
      <c r="P31" t="s">
        <v>38</v>
      </c>
      <c r="Q31" t="str">
        <f t="shared" si="0"/>
        <v>Active</v>
      </c>
      <c r="S31">
        <f>IF(AmazonSales[[#This Row],[Order Status]]="Cancelled",1,0)</f>
        <v>0</v>
      </c>
      <c r="T31">
        <f>IF(AmazonSales[[#This Row],[Delivery Status]]="Delivered",1,0)</f>
        <v>0</v>
      </c>
      <c r="U31">
        <f>IF(AmazonSales[[#This Row],[Delivery Status]]="Delivered",AmazonSales[[#This Row],[Total Amount]],0)</f>
        <v>0</v>
      </c>
      <c r="V31" t="str" cm="1">
        <f t="array" ref="V31">_xlfn.IFS(AND(AmazonSales[[#This Row],[Delivery Time]]=""),"",AND(AmazonSales[[#This Row],[Delivery Time]]&lt;=2),"Fast",AND(AmazonSales[[#This Row],[Delivery Time]]&gt;2),"Slow")</f>
        <v/>
      </c>
      <c r="W31">
        <f>IF(AmazonSales[[#This Row],[Delivery performance]]="Fast",1,0)</f>
        <v>0</v>
      </c>
    </row>
    <row r="32" spans="1:23" x14ac:dyDescent="0.3">
      <c r="A32">
        <v>1</v>
      </c>
      <c r="B32" t="s">
        <v>100</v>
      </c>
      <c r="C32" s="1">
        <v>45011</v>
      </c>
      <c r="D32" s="1"/>
      <c r="E32" s="1"/>
      <c r="F32" t="s">
        <v>101</v>
      </c>
      <c r="G32" t="s">
        <v>90</v>
      </c>
      <c r="H32" t="str">
        <f>_xlfn.XLOOKUP(AmazonSales[[#This Row],[Product ID]],Product_table[Product ID],Product_table[Category])</f>
        <v>Toys</v>
      </c>
      <c r="I32" t="str">
        <f>_xlfn.XLOOKUP(AmazonSales[[#This Row],[Product ID]],Product_table[Product ID],Product_table[Product Name])</f>
        <v>Action Figure</v>
      </c>
      <c r="J32" t="s">
        <v>16</v>
      </c>
      <c r="K32">
        <v>42</v>
      </c>
      <c r="L32">
        <v>5</v>
      </c>
      <c r="M32">
        <v>210</v>
      </c>
      <c r="N32" t="s">
        <v>41</v>
      </c>
      <c r="O32" t="s">
        <v>29</v>
      </c>
      <c r="P32" t="s">
        <v>34</v>
      </c>
      <c r="Q32" t="str">
        <f t="shared" si="0"/>
        <v>Active</v>
      </c>
      <c r="S32">
        <f>IF(AmazonSales[[#This Row],[Order Status]]="Cancelled",1,0)</f>
        <v>0</v>
      </c>
      <c r="T32">
        <f>IF(AmazonSales[[#This Row],[Delivery Status]]="Delivered",1,0)</f>
        <v>0</v>
      </c>
      <c r="U32">
        <f>IF(AmazonSales[[#This Row],[Delivery Status]]="Delivered",AmazonSales[[#This Row],[Total Amount]],0)</f>
        <v>0</v>
      </c>
      <c r="V32" t="str" cm="1">
        <f t="array" ref="V32">_xlfn.IFS(AND(AmazonSales[[#This Row],[Delivery Time]]=""),"",AND(AmazonSales[[#This Row],[Delivery Time]]&lt;=2),"Fast",AND(AmazonSales[[#This Row],[Delivery Time]]&gt;2),"Slow")</f>
        <v/>
      </c>
      <c r="W32">
        <f>IF(AmazonSales[[#This Row],[Delivery performance]]="Fast",1,0)</f>
        <v>0</v>
      </c>
    </row>
    <row r="33" spans="1:23" x14ac:dyDescent="0.3">
      <c r="A33">
        <v>1</v>
      </c>
      <c r="B33" t="s">
        <v>102</v>
      </c>
      <c r="C33" s="1">
        <v>45092</v>
      </c>
      <c r="D33" s="1"/>
      <c r="E33" s="1">
        <v>45099</v>
      </c>
      <c r="F33" t="s">
        <v>103</v>
      </c>
      <c r="G33" t="s">
        <v>104</v>
      </c>
      <c r="H33" t="str">
        <f>_xlfn.XLOOKUP(AmazonSales[[#This Row],[Product ID]],Product_table[Product ID],Product_table[Category])</f>
        <v>Books</v>
      </c>
      <c r="I33" t="str">
        <f>_xlfn.XLOOKUP(AmazonSales[[#This Row],[Product ID]],Product_table[Product ID],Product_table[Product Name])</f>
        <v>Magazine</v>
      </c>
      <c r="J33" t="s">
        <v>23</v>
      </c>
      <c r="K33">
        <v>11</v>
      </c>
      <c r="L33">
        <v>5</v>
      </c>
      <c r="M33">
        <v>55</v>
      </c>
      <c r="N33" t="s">
        <v>46</v>
      </c>
      <c r="O33" t="s">
        <v>18</v>
      </c>
      <c r="P33" t="s">
        <v>61</v>
      </c>
      <c r="Q33" t="str">
        <f t="shared" si="0"/>
        <v>Cancelled</v>
      </c>
      <c r="S33">
        <f>IF(AmazonSales[[#This Row],[Order Status]]="Cancelled",1,0)</f>
        <v>1</v>
      </c>
      <c r="T33">
        <f>IF(AmazonSales[[#This Row],[Delivery Status]]="Delivered",1,0)</f>
        <v>0</v>
      </c>
      <c r="U33">
        <f>IF(AmazonSales[[#This Row],[Delivery Status]]="Delivered",AmazonSales[[#This Row],[Total Amount]],0)</f>
        <v>0</v>
      </c>
      <c r="V33" t="str" cm="1">
        <f t="array" ref="V33">_xlfn.IFS(AND(AmazonSales[[#This Row],[Delivery Time]]=""),"",AND(AmazonSales[[#This Row],[Delivery Time]]&lt;=2),"Fast",AND(AmazonSales[[#This Row],[Delivery Time]]&gt;2),"Slow")</f>
        <v/>
      </c>
      <c r="W33">
        <f>IF(AmazonSales[[#This Row],[Delivery performance]]="Fast",1,0)</f>
        <v>0</v>
      </c>
    </row>
    <row r="34" spans="1:23" x14ac:dyDescent="0.3">
      <c r="A34">
        <v>1</v>
      </c>
      <c r="B34" t="s">
        <v>105</v>
      </c>
      <c r="C34" s="1">
        <v>45068</v>
      </c>
      <c r="D34" s="1">
        <v>45069</v>
      </c>
      <c r="E34" s="1"/>
      <c r="F34" t="s">
        <v>85</v>
      </c>
      <c r="G34" t="s">
        <v>69</v>
      </c>
      <c r="H34" t="str">
        <f>_xlfn.XLOOKUP(AmazonSales[[#This Row],[Product ID]],Product_table[Product ID],Product_table[Category])</f>
        <v>Fashion</v>
      </c>
      <c r="I34" t="str">
        <f>_xlfn.XLOOKUP(AmazonSales[[#This Row],[Product ID]],Product_table[Product ID],Product_table[Product Name])</f>
        <v>T-Shirt</v>
      </c>
      <c r="J34" t="s">
        <v>28</v>
      </c>
      <c r="K34">
        <v>27</v>
      </c>
      <c r="L34">
        <v>2</v>
      </c>
      <c r="M34">
        <v>54</v>
      </c>
      <c r="N34" t="s">
        <v>17</v>
      </c>
      <c r="O34" t="s">
        <v>25</v>
      </c>
      <c r="P34" t="s">
        <v>30</v>
      </c>
      <c r="Q34" t="str">
        <f t="shared" si="0"/>
        <v>Active</v>
      </c>
      <c r="R34">
        <f>DATEDIF(AmazonSales[[#This Row],[Order Date]],AmazonSales[[#This Row],[Delivery Date]],"d")</f>
        <v>1</v>
      </c>
      <c r="S34">
        <f>IF(AmazonSales[[#This Row],[Order Status]]="Cancelled",1,0)</f>
        <v>0</v>
      </c>
      <c r="T34">
        <f>IF(AmazonSales[[#This Row],[Delivery Status]]="Delivered",1,0)</f>
        <v>1</v>
      </c>
      <c r="U34">
        <f>IF(AmazonSales[[#This Row],[Delivery Status]]="Delivered",AmazonSales[[#This Row],[Total Amount]],0)</f>
        <v>54</v>
      </c>
      <c r="V34" t="str" cm="1">
        <f t="array" ref="V34">_xlfn.IFS(AND(AmazonSales[[#This Row],[Delivery Time]]=""),"",AND(AmazonSales[[#This Row],[Delivery Time]]&lt;=2),"Fast",AND(AmazonSales[[#This Row],[Delivery Time]]&gt;2),"Slow")</f>
        <v>Fast</v>
      </c>
      <c r="W34">
        <f>IF(AmazonSales[[#This Row],[Delivery performance]]="Fast",1,0)</f>
        <v>1</v>
      </c>
    </row>
    <row r="35" spans="1:23" x14ac:dyDescent="0.3">
      <c r="A35">
        <v>1</v>
      </c>
      <c r="B35" t="s">
        <v>106</v>
      </c>
      <c r="C35" s="1">
        <v>45250</v>
      </c>
      <c r="D35" s="1"/>
      <c r="E35" s="1"/>
      <c r="F35" t="s">
        <v>80</v>
      </c>
      <c r="G35" t="s">
        <v>73</v>
      </c>
      <c r="H35" t="str">
        <f>_xlfn.XLOOKUP(AmazonSales[[#This Row],[Product ID]],Product_table[Product ID],Product_table[Category])</f>
        <v>Books</v>
      </c>
      <c r="I35" t="str">
        <f>_xlfn.XLOOKUP(AmazonSales[[#This Row],[Product ID]],Product_table[Product ID],Product_table[Product Name])</f>
        <v>Novel</v>
      </c>
      <c r="J35" t="s">
        <v>28</v>
      </c>
      <c r="K35">
        <v>21</v>
      </c>
      <c r="L35">
        <v>1</v>
      </c>
      <c r="M35">
        <v>21</v>
      </c>
      <c r="N35" t="s">
        <v>41</v>
      </c>
      <c r="O35" t="s">
        <v>29</v>
      </c>
      <c r="P35" t="s">
        <v>19</v>
      </c>
      <c r="Q35" t="str">
        <f t="shared" si="0"/>
        <v>Active</v>
      </c>
      <c r="S35">
        <f>IF(AmazonSales[[#This Row],[Order Status]]="Cancelled",1,0)</f>
        <v>0</v>
      </c>
      <c r="T35">
        <f>IF(AmazonSales[[#This Row],[Delivery Status]]="Delivered",1,0)</f>
        <v>0</v>
      </c>
      <c r="U35">
        <f>IF(AmazonSales[[#This Row],[Delivery Status]]="Delivered",AmazonSales[[#This Row],[Total Amount]],0)</f>
        <v>0</v>
      </c>
      <c r="V35" t="str" cm="1">
        <f t="array" ref="V35">_xlfn.IFS(AND(AmazonSales[[#This Row],[Delivery Time]]=""),"",AND(AmazonSales[[#This Row],[Delivery Time]]&lt;=2),"Fast",AND(AmazonSales[[#This Row],[Delivery Time]]&gt;2),"Slow")</f>
        <v/>
      </c>
      <c r="W35">
        <f>IF(AmazonSales[[#This Row],[Delivery performance]]="Fast",1,0)</f>
        <v>0</v>
      </c>
    </row>
    <row r="36" spans="1:23" x14ac:dyDescent="0.3">
      <c r="A36">
        <v>1</v>
      </c>
      <c r="B36" t="s">
        <v>107</v>
      </c>
      <c r="C36" s="1">
        <v>45261</v>
      </c>
      <c r="D36" s="1">
        <v>45286</v>
      </c>
      <c r="E36" s="1"/>
      <c r="F36" t="s">
        <v>108</v>
      </c>
      <c r="G36" t="s">
        <v>109</v>
      </c>
      <c r="H36" t="str">
        <f>_xlfn.XLOOKUP(AmazonSales[[#This Row],[Product ID]],Product_table[Product ID],Product_table[Category])</f>
        <v>Electronics</v>
      </c>
      <c r="I36" t="str">
        <f>_xlfn.XLOOKUP(AmazonSales[[#This Row],[Product ID]],Product_table[Product ID],Product_table[Product Name])</f>
        <v>Headphones</v>
      </c>
      <c r="J36" t="s">
        <v>28</v>
      </c>
      <c r="K36">
        <v>172</v>
      </c>
      <c r="L36">
        <v>1</v>
      </c>
      <c r="M36">
        <v>172</v>
      </c>
      <c r="N36" t="s">
        <v>33</v>
      </c>
      <c r="O36" t="s">
        <v>25</v>
      </c>
      <c r="P36" t="s">
        <v>30</v>
      </c>
      <c r="Q36" t="str">
        <f t="shared" si="0"/>
        <v>Active</v>
      </c>
      <c r="R36">
        <f>DATEDIF(AmazonSales[[#This Row],[Order Date]],AmazonSales[[#This Row],[Delivery Date]],"d")</f>
        <v>25</v>
      </c>
      <c r="S36">
        <f>IF(AmazonSales[[#This Row],[Order Status]]="Cancelled",1,0)</f>
        <v>0</v>
      </c>
      <c r="T36">
        <f>IF(AmazonSales[[#This Row],[Delivery Status]]="Delivered",1,0)</f>
        <v>1</v>
      </c>
      <c r="U36">
        <f>IF(AmazonSales[[#This Row],[Delivery Status]]="Delivered",AmazonSales[[#This Row],[Total Amount]],0)</f>
        <v>172</v>
      </c>
      <c r="V36" t="str" cm="1">
        <f t="array" ref="V36">_xlfn.IFS(AND(AmazonSales[[#This Row],[Delivery Time]]=""),"",AND(AmazonSales[[#This Row],[Delivery Time]]&lt;=2),"Fast",AND(AmazonSales[[#This Row],[Delivery Time]]&gt;2),"Slow")</f>
        <v>Slow</v>
      </c>
      <c r="W36">
        <f>IF(AmazonSales[[#This Row],[Delivery performance]]="Fast",1,0)</f>
        <v>0</v>
      </c>
    </row>
    <row r="37" spans="1:23" x14ac:dyDescent="0.3">
      <c r="A37">
        <v>1</v>
      </c>
      <c r="B37" t="s">
        <v>110</v>
      </c>
      <c r="C37" s="1">
        <v>45130</v>
      </c>
      <c r="D37" s="1"/>
      <c r="E37" s="1"/>
      <c r="F37" t="s">
        <v>101</v>
      </c>
      <c r="G37" t="s">
        <v>111</v>
      </c>
      <c r="H37" t="str">
        <f>_xlfn.XLOOKUP(AmazonSales[[#This Row],[Product ID]],Product_table[Product ID],Product_table[Category])</f>
        <v>Home</v>
      </c>
      <c r="I37" t="str">
        <f>_xlfn.XLOOKUP(AmazonSales[[#This Row],[Product ID]],Product_table[Product ID],Product_table[Product Name])</f>
        <v>Cookware Set Pro</v>
      </c>
      <c r="J37" t="s">
        <v>16</v>
      </c>
      <c r="K37">
        <v>212</v>
      </c>
      <c r="L37">
        <v>3</v>
      </c>
      <c r="M37">
        <v>636</v>
      </c>
      <c r="N37" t="s">
        <v>41</v>
      </c>
      <c r="O37" t="s">
        <v>29</v>
      </c>
      <c r="P37" t="s">
        <v>34</v>
      </c>
      <c r="Q37" t="str">
        <f t="shared" si="0"/>
        <v>Active</v>
      </c>
      <c r="S37">
        <f>IF(AmazonSales[[#This Row],[Order Status]]="Cancelled",1,0)</f>
        <v>0</v>
      </c>
      <c r="T37">
        <f>IF(AmazonSales[[#This Row],[Delivery Status]]="Delivered",1,0)</f>
        <v>0</v>
      </c>
      <c r="U37">
        <f>IF(AmazonSales[[#This Row],[Delivery Status]]="Delivered",AmazonSales[[#This Row],[Total Amount]],0)</f>
        <v>0</v>
      </c>
      <c r="V37" t="str" cm="1">
        <f t="array" ref="V37">_xlfn.IFS(AND(AmazonSales[[#This Row],[Delivery Time]]=""),"",AND(AmazonSales[[#This Row],[Delivery Time]]&lt;=2),"Fast",AND(AmazonSales[[#This Row],[Delivery Time]]&gt;2),"Slow")</f>
        <v/>
      </c>
      <c r="W37">
        <f>IF(AmazonSales[[#This Row],[Delivery performance]]="Fast",1,0)</f>
        <v>0</v>
      </c>
    </row>
    <row r="38" spans="1:23" x14ac:dyDescent="0.3">
      <c r="A38">
        <v>1</v>
      </c>
      <c r="B38" t="s">
        <v>112</v>
      </c>
      <c r="C38" s="1">
        <v>45216</v>
      </c>
      <c r="D38" s="1">
        <v>45221</v>
      </c>
      <c r="E38" s="1"/>
      <c r="F38" t="s">
        <v>32</v>
      </c>
      <c r="G38" t="s">
        <v>90</v>
      </c>
      <c r="H38" t="str">
        <f>_xlfn.XLOOKUP(AmazonSales[[#This Row],[Product ID]],Product_table[Product ID],Product_table[Category])</f>
        <v>Toys</v>
      </c>
      <c r="I38" t="str">
        <f>_xlfn.XLOOKUP(AmazonSales[[#This Row],[Product ID]],Product_table[Product ID],Product_table[Product Name])</f>
        <v>Action Figure</v>
      </c>
      <c r="J38" t="s">
        <v>23</v>
      </c>
      <c r="K38">
        <v>41</v>
      </c>
      <c r="L38">
        <v>4</v>
      </c>
      <c r="M38">
        <v>164</v>
      </c>
      <c r="N38" t="s">
        <v>24</v>
      </c>
      <c r="O38" t="s">
        <v>25</v>
      </c>
      <c r="P38" t="s">
        <v>38</v>
      </c>
      <c r="Q38" t="str">
        <f t="shared" si="0"/>
        <v>Active</v>
      </c>
      <c r="R38">
        <f>DATEDIF(AmazonSales[[#This Row],[Order Date]],AmazonSales[[#This Row],[Delivery Date]],"d")</f>
        <v>5</v>
      </c>
      <c r="S38">
        <f>IF(AmazonSales[[#This Row],[Order Status]]="Cancelled",1,0)</f>
        <v>0</v>
      </c>
      <c r="T38">
        <f>IF(AmazonSales[[#This Row],[Delivery Status]]="Delivered",1,0)</f>
        <v>1</v>
      </c>
      <c r="U38">
        <f>IF(AmazonSales[[#This Row],[Delivery Status]]="Delivered",AmazonSales[[#This Row],[Total Amount]],0)</f>
        <v>164</v>
      </c>
      <c r="V38" t="str" cm="1">
        <f t="array" ref="V38">_xlfn.IFS(AND(AmazonSales[[#This Row],[Delivery Time]]=""),"",AND(AmazonSales[[#This Row],[Delivery Time]]&lt;=2),"Fast",AND(AmazonSales[[#This Row],[Delivery Time]]&gt;2),"Slow")</f>
        <v>Slow</v>
      </c>
      <c r="W38">
        <f>IF(AmazonSales[[#This Row],[Delivery performance]]="Fast",1,0)</f>
        <v>0</v>
      </c>
    </row>
    <row r="39" spans="1:23" x14ac:dyDescent="0.3">
      <c r="A39">
        <v>1</v>
      </c>
      <c r="B39" t="s">
        <v>113</v>
      </c>
      <c r="C39" s="1">
        <v>45160</v>
      </c>
      <c r="D39" s="1"/>
      <c r="E39" s="1">
        <v>45162</v>
      </c>
      <c r="F39" t="s">
        <v>87</v>
      </c>
      <c r="G39" t="s">
        <v>114</v>
      </c>
      <c r="H39" t="str">
        <f>_xlfn.XLOOKUP(AmazonSales[[#This Row],[Product ID]],Product_table[Product ID],Product_table[Category])</f>
        <v>Toys</v>
      </c>
      <c r="I39" t="str">
        <f>_xlfn.XLOOKUP(AmazonSales[[#This Row],[Product ID]],Product_table[Product ID],Product_table[Product Name])</f>
        <v>Puzzle</v>
      </c>
      <c r="J39" t="s">
        <v>16</v>
      </c>
      <c r="K39">
        <v>32</v>
      </c>
      <c r="L39">
        <v>2</v>
      </c>
      <c r="M39">
        <v>64</v>
      </c>
      <c r="N39" t="s">
        <v>46</v>
      </c>
      <c r="O39" t="s">
        <v>18</v>
      </c>
      <c r="P39" t="s">
        <v>61</v>
      </c>
      <c r="Q39" t="str">
        <f t="shared" si="0"/>
        <v>Cancelled</v>
      </c>
      <c r="S39">
        <f>IF(AmazonSales[[#This Row],[Order Status]]="Cancelled",1,0)</f>
        <v>1</v>
      </c>
      <c r="T39">
        <f>IF(AmazonSales[[#This Row],[Delivery Status]]="Delivered",1,0)</f>
        <v>0</v>
      </c>
      <c r="U39">
        <f>IF(AmazonSales[[#This Row],[Delivery Status]]="Delivered",AmazonSales[[#This Row],[Total Amount]],0)</f>
        <v>0</v>
      </c>
      <c r="V39" t="str" cm="1">
        <f t="array" ref="V39">_xlfn.IFS(AND(AmazonSales[[#This Row],[Delivery Time]]=""),"",AND(AmazonSales[[#This Row],[Delivery Time]]&lt;=2),"Fast",AND(AmazonSales[[#This Row],[Delivery Time]]&gt;2),"Slow")</f>
        <v/>
      </c>
      <c r="W39">
        <f>IF(AmazonSales[[#This Row],[Delivery performance]]="Fast",1,0)</f>
        <v>0</v>
      </c>
    </row>
    <row r="40" spans="1:23" x14ac:dyDescent="0.3">
      <c r="A40">
        <v>1</v>
      </c>
      <c r="B40" t="s">
        <v>115</v>
      </c>
      <c r="C40" s="1">
        <v>44938</v>
      </c>
      <c r="D40" s="1"/>
      <c r="E40" s="1"/>
      <c r="F40" t="s">
        <v>116</v>
      </c>
      <c r="G40" t="s">
        <v>92</v>
      </c>
      <c r="H40" t="str">
        <f>_xlfn.XLOOKUP(AmazonSales[[#This Row],[Product ID]],Product_table[Product ID],Product_table[Category])</f>
        <v>Fashion</v>
      </c>
      <c r="I40" t="str">
        <f>_xlfn.XLOOKUP(AmazonSales[[#This Row],[Product ID]],Product_table[Product ID],Product_table[Product Name])</f>
        <v>Backpack</v>
      </c>
      <c r="J40" t="s">
        <v>23</v>
      </c>
      <c r="K40">
        <v>66</v>
      </c>
      <c r="L40">
        <v>2</v>
      </c>
      <c r="M40">
        <v>132</v>
      </c>
      <c r="N40" t="s">
        <v>17</v>
      </c>
      <c r="O40" t="s">
        <v>29</v>
      </c>
      <c r="P40" t="s">
        <v>19</v>
      </c>
      <c r="Q40" t="str">
        <f t="shared" si="0"/>
        <v>Active</v>
      </c>
      <c r="S40">
        <f>IF(AmazonSales[[#This Row],[Order Status]]="Cancelled",1,0)</f>
        <v>0</v>
      </c>
      <c r="T40">
        <f>IF(AmazonSales[[#This Row],[Delivery Status]]="Delivered",1,0)</f>
        <v>0</v>
      </c>
      <c r="U40">
        <f>IF(AmazonSales[[#This Row],[Delivery Status]]="Delivered",AmazonSales[[#This Row],[Total Amount]],0)</f>
        <v>0</v>
      </c>
      <c r="V40" t="str" cm="1">
        <f t="array" ref="V40">_xlfn.IFS(AND(AmazonSales[[#This Row],[Delivery Time]]=""),"",AND(AmazonSales[[#This Row],[Delivery Time]]&lt;=2),"Fast",AND(AmazonSales[[#This Row],[Delivery Time]]&gt;2),"Slow")</f>
        <v/>
      </c>
      <c r="W40">
        <f>IF(AmazonSales[[#This Row],[Delivery performance]]="Fast",1,0)</f>
        <v>0</v>
      </c>
    </row>
    <row r="41" spans="1:23" x14ac:dyDescent="0.3">
      <c r="A41">
        <v>1</v>
      </c>
      <c r="B41" t="s">
        <v>117</v>
      </c>
      <c r="C41" s="1">
        <v>44938</v>
      </c>
      <c r="D41" s="1"/>
      <c r="E41" s="1"/>
      <c r="F41" t="s">
        <v>118</v>
      </c>
      <c r="G41" t="s">
        <v>119</v>
      </c>
      <c r="H41" t="str">
        <f>_xlfn.XLOOKUP(AmazonSales[[#This Row],[Product ID]],Product_table[Product ID],Product_table[Category])</f>
        <v>Toys</v>
      </c>
      <c r="I41" t="str">
        <f>_xlfn.XLOOKUP(AmazonSales[[#This Row],[Product ID]],Product_table[Product ID],Product_table[Product Name])</f>
        <v>Leg Set</v>
      </c>
      <c r="J41" t="s">
        <v>23</v>
      </c>
      <c r="K41">
        <v>62</v>
      </c>
      <c r="L41">
        <v>4</v>
      </c>
      <c r="M41">
        <v>248</v>
      </c>
      <c r="N41" t="s">
        <v>46</v>
      </c>
      <c r="O41" t="s">
        <v>29</v>
      </c>
      <c r="P41" t="s">
        <v>34</v>
      </c>
      <c r="Q41" t="str">
        <f t="shared" si="0"/>
        <v>Active</v>
      </c>
      <c r="S41">
        <f>IF(AmazonSales[[#This Row],[Order Status]]="Cancelled",1,0)</f>
        <v>0</v>
      </c>
      <c r="T41">
        <f>IF(AmazonSales[[#This Row],[Delivery Status]]="Delivered",1,0)</f>
        <v>0</v>
      </c>
      <c r="U41">
        <f>IF(AmazonSales[[#This Row],[Delivery Status]]="Delivered",AmazonSales[[#This Row],[Total Amount]],0)</f>
        <v>0</v>
      </c>
      <c r="V41" t="str" cm="1">
        <f t="array" ref="V41">_xlfn.IFS(AND(AmazonSales[[#This Row],[Delivery Time]]=""),"",AND(AmazonSales[[#This Row],[Delivery Time]]&lt;=2),"Fast",AND(AmazonSales[[#This Row],[Delivery Time]]&gt;2),"Slow")</f>
        <v/>
      </c>
      <c r="W41">
        <f>IF(AmazonSales[[#This Row],[Delivery performance]]="Fast",1,0)</f>
        <v>0</v>
      </c>
    </row>
    <row r="42" spans="1:23" x14ac:dyDescent="0.3">
      <c r="A42">
        <v>1</v>
      </c>
      <c r="B42" t="s">
        <v>120</v>
      </c>
      <c r="C42" s="1">
        <v>45192</v>
      </c>
      <c r="D42" s="1">
        <v>45199</v>
      </c>
      <c r="E42" s="1"/>
      <c r="F42" t="s">
        <v>121</v>
      </c>
      <c r="G42" t="s">
        <v>109</v>
      </c>
      <c r="H42" t="str">
        <f>_xlfn.XLOOKUP(AmazonSales[[#This Row],[Product ID]],Product_table[Product ID],Product_table[Category])</f>
        <v>Electronics</v>
      </c>
      <c r="I42" t="str">
        <f>_xlfn.XLOOKUP(AmazonSales[[#This Row],[Product ID]],Product_table[Product ID],Product_table[Product Name])</f>
        <v>Headphones</v>
      </c>
      <c r="J42" t="s">
        <v>50</v>
      </c>
      <c r="K42">
        <v>173</v>
      </c>
      <c r="L42">
        <v>4</v>
      </c>
      <c r="M42">
        <v>692</v>
      </c>
      <c r="N42" t="s">
        <v>17</v>
      </c>
      <c r="O42" t="s">
        <v>25</v>
      </c>
      <c r="P42" t="s">
        <v>34</v>
      </c>
      <c r="Q42" t="str">
        <f t="shared" si="0"/>
        <v>Active</v>
      </c>
      <c r="R42">
        <f>DATEDIF(AmazonSales[[#This Row],[Order Date]],AmazonSales[[#This Row],[Delivery Date]],"d")</f>
        <v>7</v>
      </c>
      <c r="S42">
        <f>IF(AmazonSales[[#This Row],[Order Status]]="Cancelled",1,0)</f>
        <v>0</v>
      </c>
      <c r="T42">
        <f>IF(AmazonSales[[#This Row],[Delivery Status]]="Delivered",1,0)</f>
        <v>1</v>
      </c>
      <c r="U42">
        <f>IF(AmazonSales[[#This Row],[Delivery Status]]="Delivered",AmazonSales[[#This Row],[Total Amount]],0)</f>
        <v>692</v>
      </c>
      <c r="V42" t="str" cm="1">
        <f t="array" ref="V42">_xlfn.IFS(AND(AmazonSales[[#This Row],[Delivery Time]]=""),"",AND(AmazonSales[[#This Row],[Delivery Time]]&lt;=2),"Fast",AND(AmazonSales[[#This Row],[Delivery Time]]&gt;2),"Slow")</f>
        <v>Slow</v>
      </c>
      <c r="W42">
        <f>IF(AmazonSales[[#This Row],[Delivery performance]]="Fast",1,0)</f>
        <v>0</v>
      </c>
    </row>
    <row r="43" spans="1:23" x14ac:dyDescent="0.3">
      <c r="A43">
        <v>1</v>
      </c>
      <c r="B43" t="s">
        <v>122</v>
      </c>
      <c r="C43" s="1">
        <v>45123</v>
      </c>
      <c r="D43" s="1">
        <v>45125</v>
      </c>
      <c r="E43" s="1"/>
      <c r="F43" t="s">
        <v>97</v>
      </c>
      <c r="G43" t="s">
        <v>119</v>
      </c>
      <c r="H43" t="str">
        <f>_xlfn.XLOOKUP(AmazonSales[[#This Row],[Product ID]],Product_table[Product ID],Product_table[Category])</f>
        <v>Toys</v>
      </c>
      <c r="I43" t="str">
        <f>_xlfn.XLOOKUP(AmazonSales[[#This Row],[Product ID]],Product_table[Product ID],Product_table[Product Name])</f>
        <v>Leg Set</v>
      </c>
      <c r="J43" t="s">
        <v>50</v>
      </c>
      <c r="K43">
        <v>63</v>
      </c>
      <c r="L43">
        <v>3</v>
      </c>
      <c r="M43">
        <v>189</v>
      </c>
      <c r="N43" t="s">
        <v>17</v>
      </c>
      <c r="O43" t="s">
        <v>25</v>
      </c>
      <c r="P43" t="s">
        <v>34</v>
      </c>
      <c r="Q43" t="str">
        <f t="shared" si="0"/>
        <v>Active</v>
      </c>
      <c r="R43">
        <f>DATEDIF(AmazonSales[[#This Row],[Order Date]],AmazonSales[[#This Row],[Delivery Date]],"d")</f>
        <v>2</v>
      </c>
      <c r="S43">
        <f>IF(AmazonSales[[#This Row],[Order Status]]="Cancelled",1,0)</f>
        <v>0</v>
      </c>
      <c r="T43">
        <f>IF(AmazonSales[[#This Row],[Delivery Status]]="Delivered",1,0)</f>
        <v>1</v>
      </c>
      <c r="U43">
        <f>IF(AmazonSales[[#This Row],[Delivery Status]]="Delivered",AmazonSales[[#This Row],[Total Amount]],0)</f>
        <v>189</v>
      </c>
      <c r="V43" t="str" cm="1">
        <f t="array" ref="V43">_xlfn.IFS(AND(AmazonSales[[#This Row],[Delivery Time]]=""),"",AND(AmazonSales[[#This Row],[Delivery Time]]&lt;=2),"Fast",AND(AmazonSales[[#This Row],[Delivery Time]]&gt;2),"Slow")</f>
        <v>Fast</v>
      </c>
      <c r="W43">
        <f>IF(AmazonSales[[#This Row],[Delivery performance]]="Fast",1,0)</f>
        <v>1</v>
      </c>
    </row>
    <row r="44" spans="1:23" x14ac:dyDescent="0.3">
      <c r="A44">
        <v>1</v>
      </c>
      <c r="B44" t="s">
        <v>123</v>
      </c>
      <c r="C44" s="1">
        <v>44962</v>
      </c>
      <c r="D44" s="1"/>
      <c r="E44" s="1">
        <v>44968</v>
      </c>
      <c r="F44" t="s">
        <v>89</v>
      </c>
      <c r="G44" t="s">
        <v>49</v>
      </c>
      <c r="H44" t="str">
        <f>_xlfn.XLOOKUP(AmazonSales[[#This Row],[Product ID]],Product_table[Product ID],Product_table[Category])</f>
        <v>Home</v>
      </c>
      <c r="I44" t="str">
        <f>_xlfn.XLOOKUP(AmazonSales[[#This Row],[Product ID]],Product_table[Product ID],Product_table[Product Name])</f>
        <v>Wall Clock</v>
      </c>
      <c r="J44" t="s">
        <v>50</v>
      </c>
      <c r="K44">
        <v>36</v>
      </c>
      <c r="L44">
        <v>3</v>
      </c>
      <c r="M44">
        <v>108</v>
      </c>
      <c r="N44" t="s">
        <v>46</v>
      </c>
      <c r="O44" t="s">
        <v>18</v>
      </c>
      <c r="P44" t="s">
        <v>30</v>
      </c>
      <c r="Q44" t="str">
        <f t="shared" si="0"/>
        <v>Cancelled</v>
      </c>
      <c r="S44">
        <f>IF(AmazonSales[[#This Row],[Order Status]]="Cancelled",1,0)</f>
        <v>1</v>
      </c>
      <c r="T44">
        <f>IF(AmazonSales[[#This Row],[Delivery Status]]="Delivered",1,0)</f>
        <v>0</v>
      </c>
      <c r="U44">
        <f>IF(AmazonSales[[#This Row],[Delivery Status]]="Delivered",AmazonSales[[#This Row],[Total Amount]],0)</f>
        <v>0</v>
      </c>
      <c r="V44" t="str" cm="1">
        <f t="array" ref="V44">_xlfn.IFS(AND(AmazonSales[[#This Row],[Delivery Time]]=""),"",AND(AmazonSales[[#This Row],[Delivery Time]]&lt;=2),"Fast",AND(AmazonSales[[#This Row],[Delivery Time]]&gt;2),"Slow")</f>
        <v/>
      </c>
      <c r="W44">
        <f>IF(AmazonSales[[#This Row],[Delivery performance]]="Fast",1,0)</f>
        <v>0</v>
      </c>
    </row>
    <row r="45" spans="1:23" x14ac:dyDescent="0.3">
      <c r="A45">
        <v>1</v>
      </c>
      <c r="B45" t="s">
        <v>124</v>
      </c>
      <c r="C45" s="1">
        <v>45278</v>
      </c>
      <c r="D45" s="1"/>
      <c r="E45" s="1">
        <v>45283</v>
      </c>
      <c r="F45" t="s">
        <v>118</v>
      </c>
      <c r="G45" t="s">
        <v>119</v>
      </c>
      <c r="H45" t="str">
        <f>_xlfn.XLOOKUP(AmazonSales[[#This Row],[Product ID]],Product_table[Product ID],Product_table[Category])</f>
        <v>Toys</v>
      </c>
      <c r="I45" t="str">
        <f>_xlfn.XLOOKUP(AmazonSales[[#This Row],[Product ID]],Product_table[Product ID],Product_table[Product Name])</f>
        <v>Leg Set</v>
      </c>
      <c r="J45" t="s">
        <v>45</v>
      </c>
      <c r="K45">
        <v>62</v>
      </c>
      <c r="L45">
        <v>1</v>
      </c>
      <c r="M45">
        <v>62</v>
      </c>
      <c r="N45" t="s">
        <v>17</v>
      </c>
      <c r="O45" t="s">
        <v>18</v>
      </c>
      <c r="P45" t="s">
        <v>38</v>
      </c>
      <c r="Q45" t="str">
        <f t="shared" si="0"/>
        <v>Cancelled</v>
      </c>
      <c r="S45">
        <f>IF(AmazonSales[[#This Row],[Order Status]]="Cancelled",1,0)</f>
        <v>1</v>
      </c>
      <c r="T45">
        <f>IF(AmazonSales[[#This Row],[Delivery Status]]="Delivered",1,0)</f>
        <v>0</v>
      </c>
      <c r="U45">
        <f>IF(AmazonSales[[#This Row],[Delivery Status]]="Delivered",AmazonSales[[#This Row],[Total Amount]],0)</f>
        <v>0</v>
      </c>
      <c r="V45" t="str" cm="1">
        <f t="array" ref="V45">_xlfn.IFS(AND(AmazonSales[[#This Row],[Delivery Time]]=""),"",AND(AmazonSales[[#This Row],[Delivery Time]]&lt;=2),"Fast",AND(AmazonSales[[#This Row],[Delivery Time]]&gt;2),"Slow")</f>
        <v/>
      </c>
      <c r="W45">
        <f>IF(AmazonSales[[#This Row],[Delivery performance]]="Fast",1,0)</f>
        <v>0</v>
      </c>
    </row>
    <row r="46" spans="1:23" x14ac:dyDescent="0.3">
      <c r="A46">
        <v>1</v>
      </c>
      <c r="B46" t="s">
        <v>125</v>
      </c>
      <c r="C46" s="1">
        <v>45088</v>
      </c>
      <c r="D46" s="1"/>
      <c r="E46" s="1">
        <v>45091</v>
      </c>
      <c r="F46" t="s">
        <v>43</v>
      </c>
      <c r="G46" t="s">
        <v>55</v>
      </c>
      <c r="H46" t="str">
        <f>_xlfn.XLOOKUP(AmazonSales[[#This Row],[Product ID]],Product_table[Product ID],Product_table[Category])</f>
        <v>Home</v>
      </c>
      <c r="I46" t="str">
        <f>_xlfn.XLOOKUP(AmazonSales[[#This Row],[Product ID]],Product_table[Product ID],Product_table[Product Name])</f>
        <v>Cookware Set</v>
      </c>
      <c r="J46" t="s">
        <v>45</v>
      </c>
      <c r="K46">
        <v>137</v>
      </c>
      <c r="L46">
        <v>5</v>
      </c>
      <c r="M46">
        <v>685</v>
      </c>
      <c r="N46" t="s">
        <v>41</v>
      </c>
      <c r="O46" t="s">
        <v>18</v>
      </c>
      <c r="P46" t="s">
        <v>61</v>
      </c>
      <c r="Q46" t="str">
        <f t="shared" si="0"/>
        <v>Cancelled</v>
      </c>
      <c r="S46">
        <f>IF(AmazonSales[[#This Row],[Order Status]]="Cancelled",1,0)</f>
        <v>1</v>
      </c>
      <c r="T46">
        <f>IF(AmazonSales[[#This Row],[Delivery Status]]="Delivered",1,0)</f>
        <v>0</v>
      </c>
      <c r="U46">
        <f>IF(AmazonSales[[#This Row],[Delivery Status]]="Delivered",AmazonSales[[#This Row],[Total Amount]],0)</f>
        <v>0</v>
      </c>
      <c r="V46" t="str" cm="1">
        <f t="array" ref="V46">_xlfn.IFS(AND(AmazonSales[[#This Row],[Delivery Time]]=""),"",AND(AmazonSales[[#This Row],[Delivery Time]]&lt;=2),"Fast",AND(AmazonSales[[#This Row],[Delivery Time]]&gt;2),"Slow")</f>
        <v/>
      </c>
      <c r="W46">
        <f>IF(AmazonSales[[#This Row],[Delivery performance]]="Fast",1,0)</f>
        <v>0</v>
      </c>
    </row>
    <row r="47" spans="1:23" x14ac:dyDescent="0.3">
      <c r="A47">
        <v>1</v>
      </c>
      <c r="B47" t="s">
        <v>126</v>
      </c>
      <c r="C47" s="1">
        <v>45264</v>
      </c>
      <c r="D47" s="1">
        <v>45268</v>
      </c>
      <c r="E47" s="1"/>
      <c r="F47" t="s">
        <v>127</v>
      </c>
      <c r="G47" t="s">
        <v>67</v>
      </c>
      <c r="H47" t="str">
        <f>_xlfn.XLOOKUP(AmazonSales[[#This Row],[Product ID]],Product_table[Product ID],Product_table[Category])</f>
        <v>Electronics</v>
      </c>
      <c r="I47" t="str">
        <f>_xlfn.XLOOKUP(AmazonSales[[#This Row],[Product ID]],Product_table[Product ID],Product_table[Product Name])</f>
        <v>Gaming Mouse</v>
      </c>
      <c r="J47" t="s">
        <v>16</v>
      </c>
      <c r="K47">
        <v>73</v>
      </c>
      <c r="L47">
        <v>4</v>
      </c>
      <c r="M47">
        <v>292</v>
      </c>
      <c r="N47" t="s">
        <v>24</v>
      </c>
      <c r="O47" t="s">
        <v>25</v>
      </c>
      <c r="P47" t="s">
        <v>38</v>
      </c>
      <c r="Q47" t="str">
        <f t="shared" si="0"/>
        <v>Active</v>
      </c>
      <c r="R47">
        <f>DATEDIF(AmazonSales[[#This Row],[Order Date]],AmazonSales[[#This Row],[Delivery Date]],"d")</f>
        <v>4</v>
      </c>
      <c r="S47">
        <f>IF(AmazonSales[[#This Row],[Order Status]]="Cancelled",1,0)</f>
        <v>0</v>
      </c>
      <c r="T47">
        <f>IF(AmazonSales[[#This Row],[Delivery Status]]="Delivered",1,0)</f>
        <v>1</v>
      </c>
      <c r="U47">
        <f>IF(AmazonSales[[#This Row],[Delivery Status]]="Delivered",AmazonSales[[#This Row],[Total Amount]],0)</f>
        <v>292</v>
      </c>
      <c r="V47" t="str" cm="1">
        <f t="array" ref="V47">_xlfn.IFS(AND(AmazonSales[[#This Row],[Delivery Time]]=""),"",AND(AmazonSales[[#This Row],[Delivery Time]]&lt;=2),"Fast",AND(AmazonSales[[#This Row],[Delivery Time]]&gt;2),"Slow")</f>
        <v>Slow</v>
      </c>
      <c r="W47">
        <f>IF(AmazonSales[[#This Row],[Delivery performance]]="Fast",1,0)</f>
        <v>0</v>
      </c>
    </row>
    <row r="48" spans="1:23" x14ac:dyDescent="0.3">
      <c r="A48">
        <v>1</v>
      </c>
      <c r="B48" t="s">
        <v>128</v>
      </c>
      <c r="C48" s="1">
        <v>45124</v>
      </c>
      <c r="D48" s="1">
        <v>45126</v>
      </c>
      <c r="E48" s="1"/>
      <c r="F48" t="s">
        <v>78</v>
      </c>
      <c r="G48" t="s">
        <v>44</v>
      </c>
      <c r="H48" t="str">
        <f>_xlfn.XLOOKUP(AmazonSales[[#This Row],[Product ID]],Product_table[Product ID],Product_table[Category])</f>
        <v>Electronics</v>
      </c>
      <c r="I48" t="str">
        <f>_xlfn.XLOOKUP(AmazonSales[[#This Row],[Product ID]],Product_table[Product ID],Product_table[Product Name])</f>
        <v>Bluetooth Speaker</v>
      </c>
      <c r="J48" t="s">
        <v>16</v>
      </c>
      <c r="K48">
        <v>104</v>
      </c>
      <c r="L48">
        <v>1</v>
      </c>
      <c r="M48">
        <v>104</v>
      </c>
      <c r="N48" t="s">
        <v>33</v>
      </c>
      <c r="O48" t="s">
        <v>25</v>
      </c>
      <c r="P48" t="s">
        <v>38</v>
      </c>
      <c r="Q48" t="str">
        <f t="shared" si="0"/>
        <v>Active</v>
      </c>
      <c r="R48">
        <f>DATEDIF(AmazonSales[[#This Row],[Order Date]],AmazonSales[[#This Row],[Delivery Date]],"d")</f>
        <v>2</v>
      </c>
      <c r="S48">
        <f>IF(AmazonSales[[#This Row],[Order Status]]="Cancelled",1,0)</f>
        <v>0</v>
      </c>
      <c r="T48">
        <f>IF(AmazonSales[[#This Row],[Delivery Status]]="Delivered",1,0)</f>
        <v>1</v>
      </c>
      <c r="U48">
        <f>IF(AmazonSales[[#This Row],[Delivery Status]]="Delivered",AmazonSales[[#This Row],[Total Amount]],0)</f>
        <v>104</v>
      </c>
      <c r="V48" t="str" cm="1">
        <f t="array" ref="V48">_xlfn.IFS(AND(AmazonSales[[#This Row],[Delivery Time]]=""),"",AND(AmazonSales[[#This Row],[Delivery Time]]&lt;=2),"Fast",AND(AmazonSales[[#This Row],[Delivery Time]]&gt;2),"Slow")</f>
        <v>Fast</v>
      </c>
      <c r="W48">
        <f>IF(AmazonSales[[#This Row],[Delivery performance]]="Fast",1,0)</f>
        <v>1</v>
      </c>
    </row>
    <row r="49" spans="1:23" x14ac:dyDescent="0.3">
      <c r="A49">
        <v>1</v>
      </c>
      <c r="B49" t="s">
        <v>129</v>
      </c>
      <c r="C49" s="1">
        <v>45218</v>
      </c>
      <c r="D49" s="1">
        <v>45223</v>
      </c>
      <c r="E49" s="1"/>
      <c r="F49" t="s">
        <v>32</v>
      </c>
      <c r="G49" t="s">
        <v>64</v>
      </c>
      <c r="H49" t="str">
        <f>_xlfn.XLOOKUP(AmazonSales[[#This Row],[Product ID]],Product_table[Product ID],Product_table[Category])</f>
        <v>Fashion</v>
      </c>
      <c r="I49" t="str">
        <f>_xlfn.XLOOKUP(AmazonSales[[#This Row],[Product ID]],Product_table[Product ID],Product_table[Product Name])</f>
        <v>Shoes</v>
      </c>
      <c r="J49" t="s">
        <v>23</v>
      </c>
      <c r="K49">
        <v>97</v>
      </c>
      <c r="L49">
        <v>1</v>
      </c>
      <c r="M49">
        <v>97</v>
      </c>
      <c r="N49" t="s">
        <v>41</v>
      </c>
      <c r="O49" t="s">
        <v>25</v>
      </c>
      <c r="P49" t="s">
        <v>61</v>
      </c>
      <c r="Q49" t="str">
        <f t="shared" si="0"/>
        <v>Active</v>
      </c>
      <c r="R49">
        <f>DATEDIF(AmazonSales[[#This Row],[Order Date]],AmazonSales[[#This Row],[Delivery Date]],"d")</f>
        <v>5</v>
      </c>
      <c r="S49">
        <f>IF(AmazonSales[[#This Row],[Order Status]]="Cancelled",1,0)</f>
        <v>0</v>
      </c>
      <c r="T49">
        <f>IF(AmazonSales[[#This Row],[Delivery Status]]="Delivered",1,0)</f>
        <v>1</v>
      </c>
      <c r="U49">
        <f>IF(AmazonSales[[#This Row],[Delivery Status]]="Delivered",AmazonSales[[#This Row],[Total Amount]],0)</f>
        <v>97</v>
      </c>
      <c r="V49" t="str" cm="1">
        <f t="array" ref="V49">_xlfn.IFS(AND(AmazonSales[[#This Row],[Delivery Time]]=""),"",AND(AmazonSales[[#This Row],[Delivery Time]]&lt;=2),"Fast",AND(AmazonSales[[#This Row],[Delivery Time]]&gt;2),"Slow")</f>
        <v>Slow</v>
      </c>
      <c r="W49">
        <f>IF(AmazonSales[[#This Row],[Delivery performance]]="Fast",1,0)</f>
        <v>0</v>
      </c>
    </row>
    <row r="50" spans="1:23" x14ac:dyDescent="0.3">
      <c r="A50">
        <v>1</v>
      </c>
      <c r="B50" t="s">
        <v>130</v>
      </c>
      <c r="C50" s="1">
        <v>45061</v>
      </c>
      <c r="D50" s="1"/>
      <c r="E50" s="1"/>
      <c r="F50" t="s">
        <v>131</v>
      </c>
      <c r="G50" t="s">
        <v>67</v>
      </c>
      <c r="H50" t="str">
        <f>_xlfn.XLOOKUP(AmazonSales[[#This Row],[Product ID]],Product_table[Product ID],Product_table[Category])</f>
        <v>Electronics</v>
      </c>
      <c r="I50" t="str">
        <f>_xlfn.XLOOKUP(AmazonSales[[#This Row],[Product ID]],Product_table[Product ID],Product_table[Product Name])</f>
        <v>Gaming Mouse</v>
      </c>
      <c r="J50" t="s">
        <v>28</v>
      </c>
      <c r="K50">
        <v>73</v>
      </c>
      <c r="L50">
        <v>5</v>
      </c>
      <c r="M50">
        <v>365</v>
      </c>
      <c r="N50" t="s">
        <v>17</v>
      </c>
      <c r="O50" t="s">
        <v>29</v>
      </c>
      <c r="P50" t="s">
        <v>38</v>
      </c>
      <c r="Q50" t="str">
        <f t="shared" si="0"/>
        <v>Active</v>
      </c>
      <c r="S50">
        <f>IF(AmazonSales[[#This Row],[Order Status]]="Cancelled",1,0)</f>
        <v>0</v>
      </c>
      <c r="T50">
        <f>IF(AmazonSales[[#This Row],[Delivery Status]]="Delivered",1,0)</f>
        <v>0</v>
      </c>
      <c r="U50">
        <f>IF(AmazonSales[[#This Row],[Delivery Status]]="Delivered",AmazonSales[[#This Row],[Total Amount]],0)</f>
        <v>0</v>
      </c>
      <c r="V50" t="str" cm="1">
        <f t="array" ref="V50">_xlfn.IFS(AND(AmazonSales[[#This Row],[Delivery Time]]=""),"",AND(AmazonSales[[#This Row],[Delivery Time]]&lt;=2),"Fast",AND(AmazonSales[[#This Row],[Delivery Time]]&gt;2),"Slow")</f>
        <v/>
      </c>
      <c r="W50">
        <f>IF(AmazonSales[[#This Row],[Delivery performance]]="Fast",1,0)</f>
        <v>0</v>
      </c>
    </row>
    <row r="51" spans="1:23" x14ac:dyDescent="0.3">
      <c r="A51">
        <v>1</v>
      </c>
      <c r="B51" t="s">
        <v>132</v>
      </c>
      <c r="C51" s="1">
        <v>44938</v>
      </c>
      <c r="D51" s="1">
        <v>44976</v>
      </c>
      <c r="E51" s="1"/>
      <c r="F51" t="s">
        <v>89</v>
      </c>
      <c r="G51" t="s">
        <v>69</v>
      </c>
      <c r="H51" t="str">
        <f>_xlfn.XLOOKUP(AmazonSales[[#This Row],[Product ID]],Product_table[Product ID],Product_table[Category])</f>
        <v>Fashion</v>
      </c>
      <c r="I51" t="str">
        <f>_xlfn.XLOOKUP(AmazonSales[[#This Row],[Product ID]],Product_table[Product ID],Product_table[Product Name])</f>
        <v>T-Shirt</v>
      </c>
      <c r="J51" t="s">
        <v>23</v>
      </c>
      <c r="K51">
        <v>27</v>
      </c>
      <c r="L51">
        <v>3</v>
      </c>
      <c r="M51">
        <v>81</v>
      </c>
      <c r="N51" t="s">
        <v>41</v>
      </c>
      <c r="O51" t="s">
        <v>25</v>
      </c>
      <c r="P51" t="s">
        <v>34</v>
      </c>
      <c r="Q51" t="str">
        <f t="shared" si="0"/>
        <v>Active</v>
      </c>
      <c r="R51">
        <f>DATEDIF(AmazonSales[[#This Row],[Order Date]],AmazonSales[[#This Row],[Delivery Date]],"d")</f>
        <v>38</v>
      </c>
      <c r="S51">
        <f>IF(AmazonSales[[#This Row],[Order Status]]="Cancelled",1,0)</f>
        <v>0</v>
      </c>
      <c r="T51">
        <f>IF(AmazonSales[[#This Row],[Delivery Status]]="Delivered",1,0)</f>
        <v>1</v>
      </c>
      <c r="U51">
        <f>IF(AmazonSales[[#This Row],[Delivery Status]]="Delivered",AmazonSales[[#This Row],[Total Amount]],0)</f>
        <v>81</v>
      </c>
      <c r="V51" t="str" cm="1">
        <f t="array" ref="V51">_xlfn.IFS(AND(AmazonSales[[#This Row],[Delivery Time]]=""),"",AND(AmazonSales[[#This Row],[Delivery Time]]&lt;=2),"Fast",AND(AmazonSales[[#This Row],[Delivery Time]]&gt;2),"Slow")</f>
        <v>Slow</v>
      </c>
      <c r="W51">
        <f>IF(AmazonSales[[#This Row],[Delivery performance]]="Fast",1,0)</f>
        <v>0</v>
      </c>
    </row>
    <row r="52" spans="1:23" x14ac:dyDescent="0.3">
      <c r="A52">
        <v>1</v>
      </c>
      <c r="B52" t="s">
        <v>133</v>
      </c>
      <c r="C52" s="1">
        <v>44967</v>
      </c>
      <c r="D52" s="1"/>
      <c r="E52" s="1"/>
      <c r="F52" t="s">
        <v>78</v>
      </c>
      <c r="G52" t="s">
        <v>49</v>
      </c>
      <c r="H52" t="str">
        <f>_xlfn.XLOOKUP(AmazonSales[[#This Row],[Product ID]],Product_table[Product ID],Product_table[Category])</f>
        <v>Home</v>
      </c>
      <c r="I52" t="str">
        <f>_xlfn.XLOOKUP(AmazonSales[[#This Row],[Product ID]],Product_table[Product ID],Product_table[Product Name])</f>
        <v>Wall Clock</v>
      </c>
      <c r="J52" t="s">
        <v>16</v>
      </c>
      <c r="K52">
        <v>37</v>
      </c>
      <c r="L52">
        <v>1</v>
      </c>
      <c r="M52">
        <v>37</v>
      </c>
      <c r="N52" t="s">
        <v>17</v>
      </c>
      <c r="O52" t="s">
        <v>29</v>
      </c>
      <c r="P52" t="s">
        <v>34</v>
      </c>
      <c r="Q52" t="str">
        <f t="shared" si="0"/>
        <v>Active</v>
      </c>
      <c r="S52">
        <f>IF(AmazonSales[[#This Row],[Order Status]]="Cancelled",1,0)</f>
        <v>0</v>
      </c>
      <c r="T52">
        <f>IF(AmazonSales[[#This Row],[Delivery Status]]="Delivered",1,0)</f>
        <v>0</v>
      </c>
      <c r="U52">
        <f>IF(AmazonSales[[#This Row],[Delivery Status]]="Delivered",AmazonSales[[#This Row],[Total Amount]],0)</f>
        <v>0</v>
      </c>
      <c r="V52" t="str" cm="1">
        <f t="array" ref="V52">_xlfn.IFS(AND(AmazonSales[[#This Row],[Delivery Time]]=""),"",AND(AmazonSales[[#This Row],[Delivery Time]]&lt;=2),"Fast",AND(AmazonSales[[#This Row],[Delivery Time]]&gt;2),"Slow")</f>
        <v/>
      </c>
      <c r="W52">
        <f>IF(AmazonSales[[#This Row],[Delivery performance]]="Fast",1,0)</f>
        <v>0</v>
      </c>
    </row>
    <row r="53" spans="1:23" x14ac:dyDescent="0.3">
      <c r="A53">
        <v>1</v>
      </c>
      <c r="B53" t="s">
        <v>134</v>
      </c>
      <c r="C53" s="1">
        <v>44956</v>
      </c>
      <c r="D53" s="1">
        <v>44958</v>
      </c>
      <c r="E53" s="1"/>
      <c r="F53" t="s">
        <v>99</v>
      </c>
      <c r="G53" t="s">
        <v>73</v>
      </c>
      <c r="H53" t="str">
        <f>_xlfn.XLOOKUP(AmazonSales[[#This Row],[Product ID]],Product_table[Product ID],Product_table[Category])</f>
        <v>Books</v>
      </c>
      <c r="I53" t="str">
        <f>_xlfn.XLOOKUP(AmazonSales[[#This Row],[Product ID]],Product_table[Product ID],Product_table[Product Name])</f>
        <v>Novel</v>
      </c>
      <c r="J53" t="s">
        <v>16</v>
      </c>
      <c r="K53">
        <v>22</v>
      </c>
      <c r="L53">
        <v>1</v>
      </c>
      <c r="M53">
        <v>22</v>
      </c>
      <c r="N53" t="s">
        <v>46</v>
      </c>
      <c r="O53" t="s">
        <v>25</v>
      </c>
      <c r="P53" t="s">
        <v>61</v>
      </c>
      <c r="Q53" t="str">
        <f t="shared" si="0"/>
        <v>Active</v>
      </c>
      <c r="R53">
        <f>DATEDIF(AmazonSales[[#This Row],[Order Date]],AmazonSales[[#This Row],[Delivery Date]],"d")</f>
        <v>2</v>
      </c>
      <c r="S53">
        <f>IF(AmazonSales[[#This Row],[Order Status]]="Cancelled",1,0)</f>
        <v>0</v>
      </c>
      <c r="T53">
        <f>IF(AmazonSales[[#This Row],[Delivery Status]]="Delivered",1,0)</f>
        <v>1</v>
      </c>
      <c r="U53">
        <f>IF(AmazonSales[[#This Row],[Delivery Status]]="Delivered",AmazonSales[[#This Row],[Total Amount]],0)</f>
        <v>22</v>
      </c>
      <c r="V53" t="str" cm="1">
        <f t="array" ref="V53">_xlfn.IFS(AND(AmazonSales[[#This Row],[Delivery Time]]=""),"",AND(AmazonSales[[#This Row],[Delivery Time]]&lt;=2),"Fast",AND(AmazonSales[[#This Row],[Delivery Time]]&gt;2),"Slow")</f>
        <v>Fast</v>
      </c>
      <c r="W53">
        <f>IF(AmazonSales[[#This Row],[Delivery performance]]="Fast",1,0)</f>
        <v>1</v>
      </c>
    </row>
    <row r="54" spans="1:23" x14ac:dyDescent="0.3">
      <c r="A54">
        <v>1</v>
      </c>
      <c r="B54" t="s">
        <v>135</v>
      </c>
      <c r="C54" s="1">
        <v>45289</v>
      </c>
      <c r="D54" s="1">
        <v>45292</v>
      </c>
      <c r="E54" s="1"/>
      <c r="F54" t="s">
        <v>75</v>
      </c>
      <c r="G54" t="s">
        <v>111</v>
      </c>
      <c r="H54" t="str">
        <f>_xlfn.XLOOKUP(AmazonSales[[#This Row],[Product ID]],Product_table[Product ID],Product_table[Category])</f>
        <v>Home</v>
      </c>
      <c r="I54" t="str">
        <f>_xlfn.XLOOKUP(AmazonSales[[#This Row],[Product ID]],Product_table[Product ID],Product_table[Product Name])</f>
        <v>Cookware Set Pro</v>
      </c>
      <c r="J54" t="s">
        <v>45</v>
      </c>
      <c r="K54">
        <v>218</v>
      </c>
      <c r="L54">
        <v>5</v>
      </c>
      <c r="M54">
        <v>1090</v>
      </c>
      <c r="N54" t="s">
        <v>33</v>
      </c>
      <c r="O54" t="s">
        <v>25</v>
      </c>
      <c r="P54" t="s">
        <v>19</v>
      </c>
      <c r="Q54" t="str">
        <f t="shared" si="0"/>
        <v>Active</v>
      </c>
      <c r="R54">
        <f>DATEDIF(AmazonSales[[#This Row],[Order Date]],AmazonSales[[#This Row],[Delivery Date]],"d")</f>
        <v>3</v>
      </c>
      <c r="S54">
        <f>IF(AmazonSales[[#This Row],[Order Status]]="Cancelled",1,0)</f>
        <v>0</v>
      </c>
      <c r="T54">
        <f>IF(AmazonSales[[#This Row],[Delivery Status]]="Delivered",1,0)</f>
        <v>1</v>
      </c>
      <c r="U54">
        <f>IF(AmazonSales[[#This Row],[Delivery Status]]="Delivered",AmazonSales[[#This Row],[Total Amount]],0)</f>
        <v>1090</v>
      </c>
      <c r="V54" t="str" cm="1">
        <f t="array" ref="V54">_xlfn.IFS(AND(AmazonSales[[#This Row],[Delivery Time]]=""),"",AND(AmazonSales[[#This Row],[Delivery Time]]&lt;=2),"Fast",AND(AmazonSales[[#This Row],[Delivery Time]]&gt;2),"Slow")</f>
        <v>Slow</v>
      </c>
      <c r="W54">
        <f>IF(AmazonSales[[#This Row],[Delivery performance]]="Fast",1,0)</f>
        <v>0</v>
      </c>
    </row>
    <row r="55" spans="1:23" x14ac:dyDescent="0.3">
      <c r="A55">
        <v>1</v>
      </c>
      <c r="B55" t="s">
        <v>136</v>
      </c>
      <c r="C55" s="1">
        <v>44991</v>
      </c>
      <c r="D55" s="1"/>
      <c r="E55" s="1">
        <v>44998</v>
      </c>
      <c r="F55" t="s">
        <v>94</v>
      </c>
      <c r="G55" t="s">
        <v>119</v>
      </c>
      <c r="H55" t="str">
        <f>_xlfn.XLOOKUP(AmazonSales[[#This Row],[Product ID]],Product_table[Product ID],Product_table[Category])</f>
        <v>Toys</v>
      </c>
      <c r="I55" t="str">
        <f>_xlfn.XLOOKUP(AmazonSales[[#This Row],[Product ID]],Product_table[Product ID],Product_table[Product Name])</f>
        <v>Leg Set</v>
      </c>
      <c r="J55" t="s">
        <v>16</v>
      </c>
      <c r="K55">
        <v>64</v>
      </c>
      <c r="L55">
        <v>1</v>
      </c>
      <c r="M55">
        <v>64</v>
      </c>
      <c r="N55" t="s">
        <v>17</v>
      </c>
      <c r="O55" t="s">
        <v>18</v>
      </c>
      <c r="P55" t="s">
        <v>30</v>
      </c>
      <c r="Q55" t="str">
        <f t="shared" si="0"/>
        <v>Cancelled</v>
      </c>
      <c r="S55">
        <f>IF(AmazonSales[[#This Row],[Order Status]]="Cancelled",1,0)</f>
        <v>1</v>
      </c>
      <c r="T55">
        <f>IF(AmazonSales[[#This Row],[Delivery Status]]="Delivered",1,0)</f>
        <v>0</v>
      </c>
      <c r="U55">
        <f>IF(AmazonSales[[#This Row],[Delivery Status]]="Delivered",AmazonSales[[#This Row],[Total Amount]],0)</f>
        <v>0</v>
      </c>
      <c r="V55" t="str" cm="1">
        <f t="array" ref="V55">_xlfn.IFS(AND(AmazonSales[[#This Row],[Delivery Time]]=""),"",AND(AmazonSales[[#This Row],[Delivery Time]]&lt;=2),"Fast",AND(AmazonSales[[#This Row],[Delivery Time]]&gt;2),"Slow")</f>
        <v/>
      </c>
      <c r="W55">
        <f>IF(AmazonSales[[#This Row],[Delivery performance]]="Fast",1,0)</f>
        <v>0</v>
      </c>
    </row>
    <row r="56" spans="1:23" x14ac:dyDescent="0.3">
      <c r="A56">
        <v>1</v>
      </c>
      <c r="B56" t="s">
        <v>137</v>
      </c>
      <c r="C56" s="1">
        <v>44959</v>
      </c>
      <c r="D56" s="1">
        <v>44963</v>
      </c>
      <c r="E56" s="1"/>
      <c r="F56" t="s">
        <v>103</v>
      </c>
      <c r="G56" t="s">
        <v>49</v>
      </c>
      <c r="H56" t="str">
        <f>_xlfn.XLOOKUP(AmazonSales[[#This Row],[Product ID]],Product_table[Product ID],Product_table[Category])</f>
        <v>Home</v>
      </c>
      <c r="I56" t="str">
        <f>_xlfn.XLOOKUP(AmazonSales[[#This Row],[Product ID]],Product_table[Product ID],Product_table[Product Name])</f>
        <v>Wall Clock</v>
      </c>
      <c r="J56" t="s">
        <v>45</v>
      </c>
      <c r="K56">
        <v>36</v>
      </c>
      <c r="L56">
        <v>4</v>
      </c>
      <c r="M56">
        <v>144</v>
      </c>
      <c r="N56" t="s">
        <v>33</v>
      </c>
      <c r="O56" t="s">
        <v>25</v>
      </c>
      <c r="P56" t="s">
        <v>38</v>
      </c>
      <c r="Q56" t="str">
        <f t="shared" si="0"/>
        <v>Active</v>
      </c>
      <c r="R56">
        <f>DATEDIF(AmazonSales[[#This Row],[Order Date]],AmazonSales[[#This Row],[Delivery Date]],"d")</f>
        <v>4</v>
      </c>
      <c r="S56">
        <f>IF(AmazonSales[[#This Row],[Order Status]]="Cancelled",1,0)</f>
        <v>0</v>
      </c>
      <c r="T56">
        <f>IF(AmazonSales[[#This Row],[Delivery Status]]="Delivered",1,0)</f>
        <v>1</v>
      </c>
      <c r="U56">
        <f>IF(AmazonSales[[#This Row],[Delivery Status]]="Delivered",AmazonSales[[#This Row],[Total Amount]],0)</f>
        <v>144</v>
      </c>
      <c r="V56" t="str" cm="1">
        <f t="array" ref="V56">_xlfn.IFS(AND(AmazonSales[[#This Row],[Delivery Time]]=""),"",AND(AmazonSales[[#This Row],[Delivery Time]]&lt;=2),"Fast",AND(AmazonSales[[#This Row],[Delivery Time]]&gt;2),"Slow")</f>
        <v>Slow</v>
      </c>
      <c r="W56">
        <f>IF(AmazonSales[[#This Row],[Delivery performance]]="Fast",1,0)</f>
        <v>0</v>
      </c>
    </row>
    <row r="57" spans="1:23" x14ac:dyDescent="0.3">
      <c r="A57">
        <v>1</v>
      </c>
      <c r="B57" t="s">
        <v>138</v>
      </c>
      <c r="C57" s="1">
        <v>45217</v>
      </c>
      <c r="D57" s="1">
        <v>45220</v>
      </c>
      <c r="E57" s="1"/>
      <c r="F57" t="s">
        <v>139</v>
      </c>
      <c r="G57" t="s">
        <v>119</v>
      </c>
      <c r="H57" t="str">
        <f>_xlfn.XLOOKUP(AmazonSales[[#This Row],[Product ID]],Product_table[Product ID],Product_table[Category])</f>
        <v>Toys</v>
      </c>
      <c r="I57" t="str">
        <f>_xlfn.XLOOKUP(AmazonSales[[#This Row],[Product ID]],Product_table[Product ID],Product_table[Product Name])</f>
        <v>Leg Set</v>
      </c>
      <c r="J57" t="s">
        <v>50</v>
      </c>
      <c r="K57">
        <v>65</v>
      </c>
      <c r="L57">
        <v>1</v>
      </c>
      <c r="M57">
        <v>65</v>
      </c>
      <c r="N57" t="s">
        <v>41</v>
      </c>
      <c r="O57" t="s">
        <v>25</v>
      </c>
      <c r="P57" t="s">
        <v>61</v>
      </c>
      <c r="Q57" t="str">
        <f t="shared" si="0"/>
        <v>Active</v>
      </c>
      <c r="R57">
        <f>DATEDIF(AmazonSales[[#This Row],[Order Date]],AmazonSales[[#This Row],[Delivery Date]],"d")</f>
        <v>3</v>
      </c>
      <c r="S57">
        <f>IF(AmazonSales[[#This Row],[Order Status]]="Cancelled",1,0)</f>
        <v>0</v>
      </c>
      <c r="T57">
        <f>IF(AmazonSales[[#This Row],[Delivery Status]]="Delivered",1,0)</f>
        <v>1</v>
      </c>
      <c r="U57">
        <f>IF(AmazonSales[[#This Row],[Delivery Status]]="Delivered",AmazonSales[[#This Row],[Total Amount]],0)</f>
        <v>65</v>
      </c>
      <c r="V57" t="str" cm="1">
        <f t="array" ref="V57">_xlfn.IFS(AND(AmazonSales[[#This Row],[Delivery Time]]=""),"",AND(AmazonSales[[#This Row],[Delivery Time]]&lt;=2),"Fast",AND(AmazonSales[[#This Row],[Delivery Time]]&gt;2),"Slow")</f>
        <v>Slow</v>
      </c>
      <c r="W57">
        <f>IF(AmazonSales[[#This Row],[Delivery performance]]="Fast",1,0)</f>
        <v>0</v>
      </c>
    </row>
    <row r="58" spans="1:23" x14ac:dyDescent="0.3">
      <c r="A58">
        <v>1</v>
      </c>
      <c r="B58" t="s">
        <v>140</v>
      </c>
      <c r="C58" s="1">
        <v>44933</v>
      </c>
      <c r="D58" s="1">
        <v>44935</v>
      </c>
      <c r="E58" s="1"/>
      <c r="F58" t="s">
        <v>80</v>
      </c>
      <c r="G58" t="s">
        <v>69</v>
      </c>
      <c r="H58" t="str">
        <f>_xlfn.XLOOKUP(AmazonSales[[#This Row],[Product ID]],Product_table[Product ID],Product_table[Category])</f>
        <v>Fashion</v>
      </c>
      <c r="I58" t="str">
        <f>_xlfn.XLOOKUP(AmazonSales[[#This Row],[Product ID]],Product_table[Product ID],Product_table[Product Name])</f>
        <v>T-Shirt</v>
      </c>
      <c r="J58" t="s">
        <v>45</v>
      </c>
      <c r="K58">
        <v>26</v>
      </c>
      <c r="L58">
        <v>1</v>
      </c>
      <c r="M58">
        <v>26</v>
      </c>
      <c r="N58" t="s">
        <v>17</v>
      </c>
      <c r="O58" t="s">
        <v>25</v>
      </c>
      <c r="P58" t="s">
        <v>19</v>
      </c>
      <c r="Q58" t="str">
        <f t="shared" si="0"/>
        <v>Active</v>
      </c>
      <c r="R58">
        <f>DATEDIF(AmazonSales[[#This Row],[Order Date]],AmazonSales[[#This Row],[Delivery Date]],"d")</f>
        <v>2</v>
      </c>
      <c r="S58">
        <f>IF(AmazonSales[[#This Row],[Order Status]]="Cancelled",1,0)</f>
        <v>0</v>
      </c>
      <c r="T58">
        <f>IF(AmazonSales[[#This Row],[Delivery Status]]="Delivered",1,0)</f>
        <v>1</v>
      </c>
      <c r="U58">
        <f>IF(AmazonSales[[#This Row],[Delivery Status]]="Delivered",AmazonSales[[#This Row],[Total Amount]],0)</f>
        <v>26</v>
      </c>
      <c r="V58" t="str" cm="1">
        <f t="array" ref="V58">_xlfn.IFS(AND(AmazonSales[[#This Row],[Delivery Time]]=""),"",AND(AmazonSales[[#This Row],[Delivery Time]]&lt;=2),"Fast",AND(AmazonSales[[#This Row],[Delivery Time]]&gt;2),"Slow")</f>
        <v>Fast</v>
      </c>
      <c r="W58">
        <f>IF(AmazonSales[[#This Row],[Delivery performance]]="Fast",1,0)</f>
        <v>1</v>
      </c>
    </row>
    <row r="59" spans="1:23" x14ac:dyDescent="0.3">
      <c r="A59">
        <v>1</v>
      </c>
      <c r="B59" t="s">
        <v>141</v>
      </c>
      <c r="C59" s="1">
        <v>45143</v>
      </c>
      <c r="D59" s="1"/>
      <c r="E59" s="1"/>
      <c r="F59" t="s">
        <v>14</v>
      </c>
      <c r="G59" t="s">
        <v>104</v>
      </c>
      <c r="H59" t="str">
        <f>_xlfn.XLOOKUP(AmazonSales[[#This Row],[Product ID]],Product_table[Product ID],Product_table[Category])</f>
        <v>Books</v>
      </c>
      <c r="I59" t="str">
        <f>_xlfn.XLOOKUP(AmazonSales[[#This Row],[Product ID]],Product_table[Product ID],Product_table[Product Name])</f>
        <v>Magazine</v>
      </c>
      <c r="J59" t="s">
        <v>16</v>
      </c>
      <c r="K59">
        <v>11</v>
      </c>
      <c r="L59">
        <v>5</v>
      </c>
      <c r="M59">
        <v>55</v>
      </c>
      <c r="N59" t="s">
        <v>24</v>
      </c>
      <c r="O59" t="s">
        <v>29</v>
      </c>
      <c r="P59" t="s">
        <v>61</v>
      </c>
      <c r="Q59" t="str">
        <f t="shared" si="0"/>
        <v>Active</v>
      </c>
      <c r="S59">
        <f>IF(AmazonSales[[#This Row],[Order Status]]="Cancelled",1,0)</f>
        <v>0</v>
      </c>
      <c r="T59">
        <f>IF(AmazonSales[[#This Row],[Delivery Status]]="Delivered",1,0)</f>
        <v>0</v>
      </c>
      <c r="U59">
        <f>IF(AmazonSales[[#This Row],[Delivery Status]]="Delivered",AmazonSales[[#This Row],[Total Amount]],0)</f>
        <v>0</v>
      </c>
      <c r="V59" t="str" cm="1">
        <f t="array" ref="V59">_xlfn.IFS(AND(AmazonSales[[#This Row],[Delivery Time]]=""),"",AND(AmazonSales[[#This Row],[Delivery Time]]&lt;=2),"Fast",AND(AmazonSales[[#This Row],[Delivery Time]]&gt;2),"Slow")</f>
        <v/>
      </c>
      <c r="W59">
        <f>IF(AmazonSales[[#This Row],[Delivery performance]]="Fast",1,0)</f>
        <v>0</v>
      </c>
    </row>
    <row r="60" spans="1:23" x14ac:dyDescent="0.3">
      <c r="A60">
        <v>1</v>
      </c>
      <c r="B60" t="s">
        <v>142</v>
      </c>
      <c r="C60" s="1">
        <v>44961</v>
      </c>
      <c r="D60" s="1"/>
      <c r="E60" s="1">
        <v>45050</v>
      </c>
      <c r="F60" t="s">
        <v>143</v>
      </c>
      <c r="G60" t="s">
        <v>27</v>
      </c>
      <c r="H60" t="str">
        <f>_xlfn.XLOOKUP(AmazonSales[[#This Row],[Product ID]],Product_table[Product ID],Product_table[Category])</f>
        <v>Home</v>
      </c>
      <c r="I60" t="str">
        <f>_xlfn.XLOOKUP(AmazonSales[[#This Row],[Product ID]],Product_table[Product ID],Product_table[Product Name])</f>
        <v>Vacuum Cleaner</v>
      </c>
      <c r="J60" t="s">
        <v>16</v>
      </c>
      <c r="K60">
        <v>195</v>
      </c>
      <c r="L60">
        <v>4</v>
      </c>
      <c r="M60">
        <v>780</v>
      </c>
      <c r="N60" t="s">
        <v>33</v>
      </c>
      <c r="O60" t="s">
        <v>18</v>
      </c>
      <c r="P60" t="s">
        <v>61</v>
      </c>
      <c r="Q60" t="str">
        <f t="shared" si="0"/>
        <v>Cancelled</v>
      </c>
      <c r="S60">
        <f>IF(AmazonSales[[#This Row],[Order Status]]="Cancelled",1,0)</f>
        <v>1</v>
      </c>
      <c r="T60">
        <f>IF(AmazonSales[[#This Row],[Delivery Status]]="Delivered",1,0)</f>
        <v>0</v>
      </c>
      <c r="U60">
        <f>IF(AmazonSales[[#This Row],[Delivery Status]]="Delivered",AmazonSales[[#This Row],[Total Amount]],0)</f>
        <v>0</v>
      </c>
      <c r="V60" t="str" cm="1">
        <f t="array" ref="V60">_xlfn.IFS(AND(AmazonSales[[#This Row],[Delivery Time]]=""),"",AND(AmazonSales[[#This Row],[Delivery Time]]&lt;=2),"Fast",AND(AmazonSales[[#This Row],[Delivery Time]]&gt;2),"Slow")</f>
        <v/>
      </c>
      <c r="W60">
        <f>IF(AmazonSales[[#This Row],[Delivery performance]]="Fast",1,0)</f>
        <v>0</v>
      </c>
    </row>
    <row r="61" spans="1:23" x14ac:dyDescent="0.3">
      <c r="A61">
        <v>1</v>
      </c>
      <c r="B61" t="s">
        <v>144</v>
      </c>
      <c r="C61" s="1">
        <v>45240</v>
      </c>
      <c r="D61" s="1"/>
      <c r="E61" s="1">
        <v>45270</v>
      </c>
      <c r="F61" t="s">
        <v>48</v>
      </c>
      <c r="G61" t="s">
        <v>53</v>
      </c>
      <c r="H61" t="str">
        <f>_xlfn.XLOOKUP(AmazonSales[[#This Row],[Product ID]],Product_table[Product ID],Product_table[Category])</f>
        <v>Fashion</v>
      </c>
      <c r="I61" t="str">
        <f>_xlfn.XLOOKUP(AmazonSales[[#This Row],[Product ID]],Product_table[Product ID],Product_table[Product Name])</f>
        <v>Formal Shirt</v>
      </c>
      <c r="J61" t="s">
        <v>50</v>
      </c>
      <c r="K61">
        <v>44</v>
      </c>
      <c r="L61">
        <v>5</v>
      </c>
      <c r="M61">
        <v>220</v>
      </c>
      <c r="N61" t="s">
        <v>17</v>
      </c>
      <c r="O61" t="s">
        <v>18</v>
      </c>
      <c r="P61" t="s">
        <v>30</v>
      </c>
      <c r="Q61" t="str">
        <f t="shared" si="0"/>
        <v>Cancelled</v>
      </c>
      <c r="S61">
        <f>IF(AmazonSales[[#This Row],[Order Status]]="Cancelled",1,0)</f>
        <v>1</v>
      </c>
      <c r="T61">
        <f>IF(AmazonSales[[#This Row],[Delivery Status]]="Delivered",1,0)</f>
        <v>0</v>
      </c>
      <c r="U61">
        <f>IF(AmazonSales[[#This Row],[Delivery Status]]="Delivered",AmazonSales[[#This Row],[Total Amount]],0)</f>
        <v>0</v>
      </c>
      <c r="V61" t="str" cm="1">
        <f t="array" ref="V61">_xlfn.IFS(AND(AmazonSales[[#This Row],[Delivery Time]]=""),"",AND(AmazonSales[[#This Row],[Delivery Time]]&lt;=2),"Fast",AND(AmazonSales[[#This Row],[Delivery Time]]&gt;2),"Slow")</f>
        <v/>
      </c>
      <c r="W61">
        <f>IF(AmazonSales[[#This Row],[Delivery performance]]="Fast",1,0)</f>
        <v>0</v>
      </c>
    </row>
    <row r="62" spans="1:23" x14ac:dyDescent="0.3">
      <c r="A62">
        <v>1</v>
      </c>
      <c r="B62" t="s">
        <v>145</v>
      </c>
      <c r="C62" s="1">
        <v>45208</v>
      </c>
      <c r="D62" s="1"/>
      <c r="E62" s="1"/>
      <c r="F62" t="s">
        <v>146</v>
      </c>
      <c r="G62" t="s">
        <v>76</v>
      </c>
      <c r="H62" t="str">
        <f>_xlfn.XLOOKUP(AmazonSales[[#This Row],[Product ID]],Product_table[Product ID],Product_table[Category])</f>
        <v>Books</v>
      </c>
      <c r="I62" t="str">
        <f>_xlfn.XLOOKUP(AmazonSales[[#This Row],[Product ID]],Product_table[Product ID],Product_table[Product Name])</f>
        <v>Textbook</v>
      </c>
      <c r="J62" t="s">
        <v>23</v>
      </c>
      <c r="K62">
        <v>69</v>
      </c>
      <c r="L62">
        <v>4</v>
      </c>
      <c r="M62">
        <v>276</v>
      </c>
      <c r="N62" t="s">
        <v>46</v>
      </c>
      <c r="O62" t="s">
        <v>29</v>
      </c>
      <c r="P62" t="s">
        <v>19</v>
      </c>
      <c r="Q62" t="str">
        <f t="shared" si="0"/>
        <v>Active</v>
      </c>
      <c r="S62">
        <f>IF(AmazonSales[[#This Row],[Order Status]]="Cancelled",1,0)</f>
        <v>0</v>
      </c>
      <c r="T62">
        <f>IF(AmazonSales[[#This Row],[Delivery Status]]="Delivered",1,0)</f>
        <v>0</v>
      </c>
      <c r="U62">
        <f>IF(AmazonSales[[#This Row],[Delivery Status]]="Delivered",AmazonSales[[#This Row],[Total Amount]],0)</f>
        <v>0</v>
      </c>
      <c r="V62" t="str" cm="1">
        <f t="array" ref="V62">_xlfn.IFS(AND(AmazonSales[[#This Row],[Delivery Time]]=""),"",AND(AmazonSales[[#This Row],[Delivery Time]]&lt;=2),"Fast",AND(AmazonSales[[#This Row],[Delivery Time]]&gt;2),"Slow")</f>
        <v/>
      </c>
      <c r="W62">
        <f>IF(AmazonSales[[#This Row],[Delivery performance]]="Fast",1,0)</f>
        <v>0</v>
      </c>
    </row>
    <row r="63" spans="1:23" x14ac:dyDescent="0.3">
      <c r="A63">
        <v>1</v>
      </c>
      <c r="B63" t="s">
        <v>147</v>
      </c>
      <c r="C63" s="1">
        <v>45252</v>
      </c>
      <c r="D63" s="1">
        <v>45259</v>
      </c>
      <c r="E63" s="1"/>
      <c r="F63" t="s">
        <v>148</v>
      </c>
      <c r="G63" t="s">
        <v>81</v>
      </c>
      <c r="H63" t="str">
        <f>_xlfn.XLOOKUP(AmazonSales[[#This Row],[Product ID]],Product_table[Product ID],Product_table[Category])</f>
        <v>Electronics</v>
      </c>
      <c r="I63" t="str">
        <f>_xlfn.XLOOKUP(AmazonSales[[#This Row],[Product ID]],Product_table[Product ID],Product_table[Product Name])</f>
        <v>Smartphone</v>
      </c>
      <c r="J63" t="s">
        <v>16</v>
      </c>
      <c r="K63">
        <v>815</v>
      </c>
      <c r="L63">
        <v>4</v>
      </c>
      <c r="M63">
        <v>3260</v>
      </c>
      <c r="N63" t="s">
        <v>24</v>
      </c>
      <c r="O63" t="s">
        <v>25</v>
      </c>
      <c r="P63" t="s">
        <v>30</v>
      </c>
      <c r="Q63" t="str">
        <f t="shared" si="0"/>
        <v>Active</v>
      </c>
      <c r="R63">
        <f>DATEDIF(AmazonSales[[#This Row],[Order Date]],AmazonSales[[#This Row],[Delivery Date]],"d")</f>
        <v>7</v>
      </c>
      <c r="S63">
        <f>IF(AmazonSales[[#This Row],[Order Status]]="Cancelled",1,0)</f>
        <v>0</v>
      </c>
      <c r="T63">
        <f>IF(AmazonSales[[#This Row],[Delivery Status]]="Delivered",1,0)</f>
        <v>1</v>
      </c>
      <c r="U63">
        <f>IF(AmazonSales[[#This Row],[Delivery Status]]="Delivered",AmazonSales[[#This Row],[Total Amount]],0)</f>
        <v>3260</v>
      </c>
      <c r="V63" t="str" cm="1">
        <f t="array" ref="V63">_xlfn.IFS(AND(AmazonSales[[#This Row],[Delivery Time]]=""),"",AND(AmazonSales[[#This Row],[Delivery Time]]&lt;=2),"Fast",AND(AmazonSales[[#This Row],[Delivery Time]]&gt;2),"Slow")</f>
        <v>Slow</v>
      </c>
      <c r="W63">
        <f>IF(AmazonSales[[#This Row],[Delivery performance]]="Fast",1,0)</f>
        <v>0</v>
      </c>
    </row>
    <row r="64" spans="1:23" x14ac:dyDescent="0.3">
      <c r="A64">
        <v>1</v>
      </c>
      <c r="B64" t="s">
        <v>149</v>
      </c>
      <c r="C64" s="1">
        <v>44962</v>
      </c>
      <c r="D64" s="1"/>
      <c r="E64" s="1"/>
      <c r="F64" t="s">
        <v>150</v>
      </c>
      <c r="G64" t="s">
        <v>69</v>
      </c>
      <c r="H64" t="str">
        <f>_xlfn.XLOOKUP(AmazonSales[[#This Row],[Product ID]],Product_table[Product ID],Product_table[Category])</f>
        <v>Fashion</v>
      </c>
      <c r="I64" t="str">
        <f>_xlfn.XLOOKUP(AmazonSales[[#This Row],[Product ID]],Product_table[Product ID],Product_table[Product Name])</f>
        <v>T-Shirt</v>
      </c>
      <c r="J64" t="s">
        <v>23</v>
      </c>
      <c r="K64">
        <v>27</v>
      </c>
      <c r="L64">
        <v>1</v>
      </c>
      <c r="M64">
        <v>27</v>
      </c>
      <c r="N64" t="s">
        <v>46</v>
      </c>
      <c r="O64" t="s">
        <v>29</v>
      </c>
      <c r="P64" t="s">
        <v>38</v>
      </c>
      <c r="Q64" t="str">
        <f t="shared" si="0"/>
        <v>Active</v>
      </c>
      <c r="S64">
        <f>IF(AmazonSales[[#This Row],[Order Status]]="Cancelled",1,0)</f>
        <v>0</v>
      </c>
      <c r="T64">
        <f>IF(AmazonSales[[#This Row],[Delivery Status]]="Delivered",1,0)</f>
        <v>0</v>
      </c>
      <c r="U64">
        <f>IF(AmazonSales[[#This Row],[Delivery Status]]="Delivered",AmazonSales[[#This Row],[Total Amount]],0)</f>
        <v>0</v>
      </c>
      <c r="V64" t="str" cm="1">
        <f t="array" ref="V64">_xlfn.IFS(AND(AmazonSales[[#This Row],[Delivery Time]]=""),"",AND(AmazonSales[[#This Row],[Delivery Time]]&lt;=2),"Fast",AND(AmazonSales[[#This Row],[Delivery Time]]&gt;2),"Slow")</f>
        <v/>
      </c>
      <c r="W64">
        <f>IF(AmazonSales[[#This Row],[Delivery performance]]="Fast",1,0)</f>
        <v>0</v>
      </c>
    </row>
    <row r="65" spans="1:23" x14ac:dyDescent="0.3">
      <c r="A65">
        <v>1</v>
      </c>
      <c r="B65" t="s">
        <v>151</v>
      </c>
      <c r="C65" s="1">
        <v>45261</v>
      </c>
      <c r="D65" s="1">
        <v>45289</v>
      </c>
      <c r="E65" s="1"/>
      <c r="F65" t="s">
        <v>152</v>
      </c>
      <c r="G65" t="s">
        <v>55</v>
      </c>
      <c r="H65" t="str">
        <f>_xlfn.XLOOKUP(AmazonSales[[#This Row],[Product ID]],Product_table[Product ID],Product_table[Category])</f>
        <v>Home</v>
      </c>
      <c r="I65" t="str">
        <f>_xlfn.XLOOKUP(AmazonSales[[#This Row],[Product ID]],Product_table[Product ID],Product_table[Product Name])</f>
        <v>Cookware Set</v>
      </c>
      <c r="J65" t="s">
        <v>50</v>
      </c>
      <c r="K65">
        <v>139</v>
      </c>
      <c r="L65">
        <v>5</v>
      </c>
      <c r="M65">
        <v>695</v>
      </c>
      <c r="N65" t="s">
        <v>17</v>
      </c>
      <c r="O65" t="s">
        <v>25</v>
      </c>
      <c r="P65" t="s">
        <v>30</v>
      </c>
      <c r="Q65" t="str">
        <f t="shared" si="0"/>
        <v>Active</v>
      </c>
      <c r="R65">
        <f>DATEDIF(AmazonSales[[#This Row],[Order Date]],AmazonSales[[#This Row],[Delivery Date]],"d")</f>
        <v>28</v>
      </c>
      <c r="S65">
        <f>IF(AmazonSales[[#This Row],[Order Status]]="Cancelled",1,0)</f>
        <v>0</v>
      </c>
      <c r="T65">
        <f>IF(AmazonSales[[#This Row],[Delivery Status]]="Delivered",1,0)</f>
        <v>1</v>
      </c>
      <c r="U65">
        <f>IF(AmazonSales[[#This Row],[Delivery Status]]="Delivered",AmazonSales[[#This Row],[Total Amount]],0)</f>
        <v>695</v>
      </c>
      <c r="V65" t="str" cm="1">
        <f t="array" ref="V65">_xlfn.IFS(AND(AmazonSales[[#This Row],[Delivery Time]]=""),"",AND(AmazonSales[[#This Row],[Delivery Time]]&lt;=2),"Fast",AND(AmazonSales[[#This Row],[Delivery Time]]&gt;2),"Slow")</f>
        <v>Slow</v>
      </c>
      <c r="W65">
        <f>IF(AmazonSales[[#This Row],[Delivery performance]]="Fast",1,0)</f>
        <v>0</v>
      </c>
    </row>
    <row r="66" spans="1:23" x14ac:dyDescent="0.3">
      <c r="A66">
        <v>1</v>
      </c>
      <c r="B66" t="s">
        <v>153</v>
      </c>
      <c r="C66" s="1">
        <v>45217</v>
      </c>
      <c r="D66" s="1"/>
      <c r="E66" s="1">
        <v>45219</v>
      </c>
      <c r="F66" t="s">
        <v>40</v>
      </c>
      <c r="G66" t="s">
        <v>76</v>
      </c>
      <c r="H66" t="str">
        <f>_xlfn.XLOOKUP(AmazonSales[[#This Row],[Product ID]],Product_table[Product ID],Product_table[Category])</f>
        <v>Books</v>
      </c>
      <c r="I66" t="str">
        <f>_xlfn.XLOOKUP(AmazonSales[[#This Row],[Product ID]],Product_table[Product ID],Product_table[Product Name])</f>
        <v>Textbook</v>
      </c>
      <c r="J66" t="s">
        <v>28</v>
      </c>
      <c r="K66">
        <v>69</v>
      </c>
      <c r="L66">
        <v>3</v>
      </c>
      <c r="M66">
        <v>207</v>
      </c>
      <c r="N66" t="s">
        <v>33</v>
      </c>
      <c r="O66" t="s">
        <v>18</v>
      </c>
      <c r="P66" t="s">
        <v>38</v>
      </c>
      <c r="Q66" t="str">
        <f t="shared" ref="Q66:Q101" si="1">IF(AND(E66&lt;&gt;"", O66="Cancelled"), "Cancelled", "Active")</f>
        <v>Cancelled</v>
      </c>
      <c r="S66">
        <f>IF(AmazonSales[[#This Row],[Order Status]]="Cancelled",1,0)</f>
        <v>1</v>
      </c>
      <c r="T66">
        <f>IF(AmazonSales[[#This Row],[Delivery Status]]="Delivered",1,0)</f>
        <v>0</v>
      </c>
      <c r="U66">
        <f>IF(AmazonSales[[#This Row],[Delivery Status]]="Delivered",AmazonSales[[#This Row],[Total Amount]],0)</f>
        <v>0</v>
      </c>
      <c r="V66" t="str" cm="1">
        <f t="array" ref="V66">_xlfn.IFS(AND(AmazonSales[[#This Row],[Delivery Time]]=""),"",AND(AmazonSales[[#This Row],[Delivery Time]]&lt;=2),"Fast",AND(AmazonSales[[#This Row],[Delivery Time]]&gt;2),"Slow")</f>
        <v/>
      </c>
      <c r="W66">
        <f>IF(AmazonSales[[#This Row],[Delivery performance]]="Fast",1,0)</f>
        <v>0</v>
      </c>
    </row>
    <row r="67" spans="1:23" x14ac:dyDescent="0.3">
      <c r="A67">
        <v>1</v>
      </c>
      <c r="B67" t="s">
        <v>154</v>
      </c>
      <c r="C67" s="1">
        <v>45066</v>
      </c>
      <c r="D67" s="1"/>
      <c r="E67" s="1">
        <v>45067</v>
      </c>
      <c r="F67" t="s">
        <v>40</v>
      </c>
      <c r="G67" t="s">
        <v>53</v>
      </c>
      <c r="H67" t="str">
        <f>_xlfn.XLOOKUP(AmazonSales[[#This Row],[Product ID]],Product_table[Product ID],Product_table[Category])</f>
        <v>Fashion</v>
      </c>
      <c r="I67" t="str">
        <f>_xlfn.XLOOKUP(AmazonSales[[#This Row],[Product ID]],Product_table[Product ID],Product_table[Product Name])</f>
        <v>Formal Shirt</v>
      </c>
      <c r="J67" t="s">
        <v>50</v>
      </c>
      <c r="K67">
        <v>42</v>
      </c>
      <c r="L67">
        <v>1</v>
      </c>
      <c r="M67">
        <v>42</v>
      </c>
      <c r="N67" t="s">
        <v>17</v>
      </c>
      <c r="O67" t="s">
        <v>18</v>
      </c>
      <c r="P67" t="s">
        <v>19</v>
      </c>
      <c r="Q67" t="str">
        <f t="shared" si="1"/>
        <v>Cancelled</v>
      </c>
      <c r="S67">
        <f>IF(AmazonSales[[#This Row],[Order Status]]="Cancelled",1,0)</f>
        <v>1</v>
      </c>
      <c r="T67">
        <f>IF(AmazonSales[[#This Row],[Delivery Status]]="Delivered",1,0)</f>
        <v>0</v>
      </c>
      <c r="U67">
        <f>IF(AmazonSales[[#This Row],[Delivery Status]]="Delivered",AmazonSales[[#This Row],[Total Amount]],0)</f>
        <v>0</v>
      </c>
      <c r="V67" t="str" cm="1">
        <f t="array" ref="V67">_xlfn.IFS(AND(AmazonSales[[#This Row],[Delivery Time]]=""),"",AND(AmazonSales[[#This Row],[Delivery Time]]&lt;=2),"Fast",AND(AmazonSales[[#This Row],[Delivery Time]]&gt;2),"Slow")</f>
        <v/>
      </c>
      <c r="W67">
        <f>IF(AmazonSales[[#This Row],[Delivery performance]]="Fast",1,0)</f>
        <v>0</v>
      </c>
    </row>
    <row r="68" spans="1:23" x14ac:dyDescent="0.3">
      <c r="A68">
        <v>1</v>
      </c>
      <c r="B68" t="s">
        <v>155</v>
      </c>
      <c r="C68" s="1">
        <v>45135</v>
      </c>
      <c r="D68" s="1">
        <v>45137</v>
      </c>
      <c r="E68" s="1"/>
      <c r="F68" t="s">
        <v>156</v>
      </c>
      <c r="G68" t="s">
        <v>114</v>
      </c>
      <c r="H68" t="str">
        <f>_xlfn.XLOOKUP(AmazonSales[[#This Row],[Product ID]],Product_table[Product ID],Product_table[Category])</f>
        <v>Toys</v>
      </c>
      <c r="I68" t="str">
        <f>_xlfn.XLOOKUP(AmazonSales[[#This Row],[Product ID]],Product_table[Product ID],Product_table[Product Name])</f>
        <v>Puzzle</v>
      </c>
      <c r="J68" t="s">
        <v>16</v>
      </c>
      <c r="K68">
        <v>31</v>
      </c>
      <c r="L68">
        <v>4</v>
      </c>
      <c r="M68">
        <v>124</v>
      </c>
      <c r="N68" t="s">
        <v>24</v>
      </c>
      <c r="O68" t="s">
        <v>25</v>
      </c>
      <c r="P68" t="s">
        <v>34</v>
      </c>
      <c r="Q68" t="str">
        <f t="shared" si="1"/>
        <v>Active</v>
      </c>
      <c r="R68">
        <f>DATEDIF(AmazonSales[[#This Row],[Order Date]],AmazonSales[[#This Row],[Delivery Date]],"d")</f>
        <v>2</v>
      </c>
      <c r="S68">
        <f>IF(AmazonSales[[#This Row],[Order Status]]="Cancelled",1,0)</f>
        <v>0</v>
      </c>
      <c r="T68">
        <f>IF(AmazonSales[[#This Row],[Delivery Status]]="Delivered",1,0)</f>
        <v>1</v>
      </c>
      <c r="U68">
        <f>IF(AmazonSales[[#This Row],[Delivery Status]]="Delivered",AmazonSales[[#This Row],[Total Amount]],0)</f>
        <v>124</v>
      </c>
      <c r="V68" t="str" cm="1">
        <f t="array" ref="V68">_xlfn.IFS(AND(AmazonSales[[#This Row],[Delivery Time]]=""),"",AND(AmazonSales[[#This Row],[Delivery Time]]&lt;=2),"Fast",AND(AmazonSales[[#This Row],[Delivery Time]]&gt;2),"Slow")</f>
        <v>Fast</v>
      </c>
      <c r="W68">
        <f>IF(AmazonSales[[#This Row],[Delivery performance]]="Fast",1,0)</f>
        <v>1</v>
      </c>
    </row>
    <row r="69" spans="1:23" x14ac:dyDescent="0.3">
      <c r="A69">
        <v>1</v>
      </c>
      <c r="B69" t="s">
        <v>157</v>
      </c>
      <c r="C69" s="1">
        <v>45278</v>
      </c>
      <c r="D69" s="1"/>
      <c r="E69" s="1"/>
      <c r="F69" t="s">
        <v>60</v>
      </c>
      <c r="G69" t="s">
        <v>44</v>
      </c>
      <c r="H69" t="str">
        <f>_xlfn.XLOOKUP(AmazonSales[[#This Row],[Product ID]],Product_table[Product ID],Product_table[Category])</f>
        <v>Electronics</v>
      </c>
      <c r="I69" t="str">
        <f>_xlfn.XLOOKUP(AmazonSales[[#This Row],[Product ID]],Product_table[Product ID],Product_table[Product Name])</f>
        <v>Bluetooth Speaker</v>
      </c>
      <c r="J69" t="s">
        <v>50</v>
      </c>
      <c r="K69">
        <v>104</v>
      </c>
      <c r="L69">
        <v>3</v>
      </c>
      <c r="M69">
        <v>312</v>
      </c>
      <c r="N69" t="s">
        <v>24</v>
      </c>
      <c r="O69" t="s">
        <v>29</v>
      </c>
      <c r="P69" t="s">
        <v>34</v>
      </c>
      <c r="Q69" t="str">
        <f t="shared" si="1"/>
        <v>Active</v>
      </c>
      <c r="S69">
        <f>IF(AmazonSales[[#This Row],[Order Status]]="Cancelled",1,0)</f>
        <v>0</v>
      </c>
      <c r="T69">
        <f>IF(AmazonSales[[#This Row],[Delivery Status]]="Delivered",1,0)</f>
        <v>0</v>
      </c>
      <c r="U69">
        <f>IF(AmazonSales[[#This Row],[Delivery Status]]="Delivered",AmazonSales[[#This Row],[Total Amount]],0)</f>
        <v>0</v>
      </c>
      <c r="V69" t="str" cm="1">
        <f t="array" ref="V69">_xlfn.IFS(AND(AmazonSales[[#This Row],[Delivery Time]]=""),"",AND(AmazonSales[[#This Row],[Delivery Time]]&lt;=2),"Fast",AND(AmazonSales[[#This Row],[Delivery Time]]&gt;2),"Slow")</f>
        <v/>
      </c>
      <c r="W69">
        <f>IF(AmazonSales[[#This Row],[Delivery performance]]="Fast",1,0)</f>
        <v>0</v>
      </c>
    </row>
    <row r="70" spans="1:23" x14ac:dyDescent="0.3">
      <c r="A70">
        <v>1</v>
      </c>
      <c r="B70" t="s">
        <v>158</v>
      </c>
      <c r="C70" s="1">
        <v>44964</v>
      </c>
      <c r="D70" s="1"/>
      <c r="E70" s="1">
        <v>45114</v>
      </c>
      <c r="F70" t="s">
        <v>32</v>
      </c>
      <c r="G70" t="s">
        <v>37</v>
      </c>
      <c r="H70" t="str">
        <f>_xlfn.XLOOKUP(AmazonSales[[#This Row],[Product ID]],Product_table[Product ID],Product_table[Category])</f>
        <v>Fashion</v>
      </c>
      <c r="I70" t="str">
        <f>_xlfn.XLOOKUP(AmazonSales[[#This Row],[Product ID]],Product_table[Product ID],Product_table[Product Name])</f>
        <v>Jeans</v>
      </c>
      <c r="J70" t="s">
        <v>23</v>
      </c>
      <c r="K70">
        <v>58</v>
      </c>
      <c r="L70">
        <v>2</v>
      </c>
      <c r="M70">
        <v>116</v>
      </c>
      <c r="N70" t="s">
        <v>17</v>
      </c>
      <c r="O70" t="s">
        <v>18</v>
      </c>
      <c r="P70" t="s">
        <v>30</v>
      </c>
      <c r="Q70" t="str">
        <f t="shared" si="1"/>
        <v>Cancelled</v>
      </c>
      <c r="S70">
        <f>IF(AmazonSales[[#This Row],[Order Status]]="Cancelled",1,0)</f>
        <v>1</v>
      </c>
      <c r="T70">
        <f>IF(AmazonSales[[#This Row],[Delivery Status]]="Delivered",1,0)</f>
        <v>0</v>
      </c>
      <c r="U70">
        <f>IF(AmazonSales[[#This Row],[Delivery Status]]="Delivered",AmazonSales[[#This Row],[Total Amount]],0)</f>
        <v>0</v>
      </c>
      <c r="V70" t="str" cm="1">
        <f t="array" ref="V70">_xlfn.IFS(AND(AmazonSales[[#This Row],[Delivery Time]]=""),"",AND(AmazonSales[[#This Row],[Delivery Time]]&lt;=2),"Fast",AND(AmazonSales[[#This Row],[Delivery Time]]&gt;2),"Slow")</f>
        <v/>
      </c>
      <c r="W70">
        <f>IF(AmazonSales[[#This Row],[Delivery performance]]="Fast",1,0)</f>
        <v>0</v>
      </c>
    </row>
    <row r="71" spans="1:23" x14ac:dyDescent="0.3">
      <c r="A71">
        <v>1</v>
      </c>
      <c r="B71" t="s">
        <v>159</v>
      </c>
      <c r="C71" s="1">
        <v>45179</v>
      </c>
      <c r="D71" s="1"/>
      <c r="E71" s="1">
        <v>45209</v>
      </c>
      <c r="F71" t="s">
        <v>40</v>
      </c>
      <c r="G71" t="s">
        <v>119</v>
      </c>
      <c r="H71" t="str">
        <f>_xlfn.XLOOKUP(AmazonSales[[#This Row],[Product ID]],Product_table[Product ID],Product_table[Category])</f>
        <v>Toys</v>
      </c>
      <c r="I71" t="str">
        <f>_xlfn.XLOOKUP(AmazonSales[[#This Row],[Product ID]],Product_table[Product ID],Product_table[Product Name])</f>
        <v>Leg Set</v>
      </c>
      <c r="J71" t="s">
        <v>50</v>
      </c>
      <c r="K71">
        <v>62</v>
      </c>
      <c r="L71">
        <v>2</v>
      </c>
      <c r="M71">
        <v>124</v>
      </c>
      <c r="N71" t="s">
        <v>46</v>
      </c>
      <c r="O71" t="s">
        <v>18</v>
      </c>
      <c r="P71" t="s">
        <v>19</v>
      </c>
      <c r="Q71" t="str">
        <f t="shared" si="1"/>
        <v>Cancelled</v>
      </c>
      <c r="S71">
        <f>IF(AmazonSales[[#This Row],[Order Status]]="Cancelled",1,0)</f>
        <v>1</v>
      </c>
      <c r="T71">
        <f>IF(AmazonSales[[#This Row],[Delivery Status]]="Delivered",1,0)</f>
        <v>0</v>
      </c>
      <c r="U71">
        <f>IF(AmazonSales[[#This Row],[Delivery Status]]="Delivered",AmazonSales[[#This Row],[Total Amount]],0)</f>
        <v>0</v>
      </c>
      <c r="V71" t="str" cm="1">
        <f t="array" ref="V71">_xlfn.IFS(AND(AmazonSales[[#This Row],[Delivery Time]]=""),"",AND(AmazonSales[[#This Row],[Delivery Time]]&lt;=2),"Fast",AND(AmazonSales[[#This Row],[Delivery Time]]&gt;2),"Slow")</f>
        <v/>
      </c>
      <c r="W71">
        <f>IF(AmazonSales[[#This Row],[Delivery performance]]="Fast",1,0)</f>
        <v>0</v>
      </c>
    </row>
    <row r="72" spans="1:23" x14ac:dyDescent="0.3">
      <c r="A72">
        <v>1</v>
      </c>
      <c r="B72" t="s">
        <v>160</v>
      </c>
      <c r="C72" s="1">
        <v>45278</v>
      </c>
      <c r="D72" s="1">
        <v>45285</v>
      </c>
      <c r="E72" s="1"/>
      <c r="F72" t="s">
        <v>118</v>
      </c>
      <c r="G72" t="s">
        <v>53</v>
      </c>
      <c r="H72" t="str">
        <f>_xlfn.XLOOKUP(AmazonSales[[#This Row],[Product ID]],Product_table[Product ID],Product_table[Category])</f>
        <v>Fashion</v>
      </c>
      <c r="I72" t="str">
        <f>_xlfn.XLOOKUP(AmazonSales[[#This Row],[Product ID]],Product_table[Product ID],Product_table[Product Name])</f>
        <v>Formal Shirt</v>
      </c>
      <c r="J72" t="s">
        <v>23</v>
      </c>
      <c r="K72">
        <v>43</v>
      </c>
      <c r="L72">
        <v>1</v>
      </c>
      <c r="M72">
        <v>43</v>
      </c>
      <c r="N72" t="s">
        <v>24</v>
      </c>
      <c r="O72" t="s">
        <v>25</v>
      </c>
      <c r="P72" t="s">
        <v>38</v>
      </c>
      <c r="Q72" t="str">
        <f t="shared" si="1"/>
        <v>Active</v>
      </c>
      <c r="R72">
        <f>DATEDIF(AmazonSales[[#This Row],[Order Date]],AmazonSales[[#This Row],[Delivery Date]],"d")</f>
        <v>7</v>
      </c>
      <c r="S72">
        <f>IF(AmazonSales[[#This Row],[Order Status]]="Cancelled",1,0)</f>
        <v>0</v>
      </c>
      <c r="T72">
        <f>IF(AmazonSales[[#This Row],[Delivery Status]]="Delivered",1,0)</f>
        <v>1</v>
      </c>
      <c r="U72">
        <f>IF(AmazonSales[[#This Row],[Delivery Status]]="Delivered",AmazonSales[[#This Row],[Total Amount]],0)</f>
        <v>43</v>
      </c>
      <c r="V72" t="str" cm="1">
        <f t="array" ref="V72">_xlfn.IFS(AND(AmazonSales[[#This Row],[Delivery Time]]=""),"",AND(AmazonSales[[#This Row],[Delivery Time]]&lt;=2),"Fast",AND(AmazonSales[[#This Row],[Delivery Time]]&gt;2),"Slow")</f>
        <v>Slow</v>
      </c>
      <c r="W72">
        <f>IF(AmazonSales[[#This Row],[Delivery performance]]="Fast",1,0)</f>
        <v>0</v>
      </c>
    </row>
    <row r="73" spans="1:23" x14ac:dyDescent="0.3">
      <c r="A73">
        <v>1</v>
      </c>
      <c r="B73" t="s">
        <v>161</v>
      </c>
      <c r="C73" s="1">
        <v>45110</v>
      </c>
      <c r="D73" s="1"/>
      <c r="E73" s="1"/>
      <c r="F73" t="s">
        <v>148</v>
      </c>
      <c r="G73" t="s">
        <v>119</v>
      </c>
      <c r="H73" t="str">
        <f>_xlfn.XLOOKUP(AmazonSales[[#This Row],[Product ID]],Product_table[Product ID],Product_table[Category])</f>
        <v>Toys</v>
      </c>
      <c r="I73" t="str">
        <f>_xlfn.XLOOKUP(AmazonSales[[#This Row],[Product ID]],Product_table[Product ID],Product_table[Product Name])</f>
        <v>Leg Set</v>
      </c>
      <c r="J73" t="s">
        <v>23</v>
      </c>
      <c r="K73">
        <v>62</v>
      </c>
      <c r="L73">
        <v>4</v>
      </c>
      <c r="M73">
        <v>248</v>
      </c>
      <c r="N73" t="s">
        <v>46</v>
      </c>
      <c r="O73" t="s">
        <v>29</v>
      </c>
      <c r="P73" t="s">
        <v>38</v>
      </c>
      <c r="Q73" t="str">
        <f t="shared" si="1"/>
        <v>Active</v>
      </c>
      <c r="S73">
        <f>IF(AmazonSales[[#This Row],[Order Status]]="Cancelled",1,0)</f>
        <v>0</v>
      </c>
      <c r="T73">
        <f>IF(AmazonSales[[#This Row],[Delivery Status]]="Delivered",1,0)</f>
        <v>0</v>
      </c>
      <c r="U73">
        <f>IF(AmazonSales[[#This Row],[Delivery Status]]="Delivered",AmazonSales[[#This Row],[Total Amount]],0)</f>
        <v>0</v>
      </c>
      <c r="V73" t="str" cm="1">
        <f t="array" ref="V73">_xlfn.IFS(AND(AmazonSales[[#This Row],[Delivery Time]]=""),"",AND(AmazonSales[[#This Row],[Delivery Time]]&lt;=2),"Fast",AND(AmazonSales[[#This Row],[Delivery Time]]&gt;2),"Slow")</f>
        <v/>
      </c>
      <c r="W73">
        <f>IF(AmazonSales[[#This Row],[Delivery performance]]="Fast",1,0)</f>
        <v>0</v>
      </c>
    </row>
    <row r="74" spans="1:23" x14ac:dyDescent="0.3">
      <c r="A74">
        <v>1</v>
      </c>
      <c r="B74" t="s">
        <v>162</v>
      </c>
      <c r="C74" s="1">
        <v>45129</v>
      </c>
      <c r="D74" s="1"/>
      <c r="E74" s="1">
        <v>45132</v>
      </c>
      <c r="F74" t="s">
        <v>87</v>
      </c>
      <c r="G74" t="s">
        <v>64</v>
      </c>
      <c r="H74" t="str">
        <f>_xlfn.XLOOKUP(AmazonSales[[#This Row],[Product ID]],Product_table[Product ID],Product_table[Category])</f>
        <v>Fashion</v>
      </c>
      <c r="I74" t="str">
        <f>_xlfn.XLOOKUP(AmazonSales[[#This Row],[Product ID]],Product_table[Product ID],Product_table[Product Name])</f>
        <v>Shoes</v>
      </c>
      <c r="J74" t="s">
        <v>16</v>
      </c>
      <c r="K74">
        <v>95</v>
      </c>
      <c r="L74">
        <v>2</v>
      </c>
      <c r="M74">
        <v>190</v>
      </c>
      <c r="N74" t="s">
        <v>33</v>
      </c>
      <c r="O74" t="s">
        <v>18</v>
      </c>
      <c r="P74" t="s">
        <v>34</v>
      </c>
      <c r="Q74" t="str">
        <f t="shared" si="1"/>
        <v>Cancelled</v>
      </c>
      <c r="S74">
        <f>IF(AmazonSales[[#This Row],[Order Status]]="Cancelled",1,0)</f>
        <v>1</v>
      </c>
      <c r="T74">
        <f>IF(AmazonSales[[#This Row],[Delivery Status]]="Delivered",1,0)</f>
        <v>0</v>
      </c>
      <c r="U74">
        <f>IF(AmazonSales[[#This Row],[Delivery Status]]="Delivered",AmazonSales[[#This Row],[Total Amount]],0)</f>
        <v>0</v>
      </c>
      <c r="V74" t="str" cm="1">
        <f t="array" ref="V74">_xlfn.IFS(AND(AmazonSales[[#This Row],[Delivery Time]]=""),"",AND(AmazonSales[[#This Row],[Delivery Time]]&lt;=2),"Fast",AND(AmazonSales[[#This Row],[Delivery Time]]&gt;2),"Slow")</f>
        <v/>
      </c>
      <c r="W74">
        <f>IF(AmazonSales[[#This Row],[Delivery performance]]="Fast",1,0)</f>
        <v>0</v>
      </c>
    </row>
    <row r="75" spans="1:23" x14ac:dyDescent="0.3">
      <c r="A75">
        <v>1</v>
      </c>
      <c r="B75" t="s">
        <v>163</v>
      </c>
      <c r="C75" s="1">
        <v>44944</v>
      </c>
      <c r="D75" s="1">
        <v>44950</v>
      </c>
      <c r="E75" s="1"/>
      <c r="F75" t="s">
        <v>85</v>
      </c>
      <c r="G75" t="s">
        <v>49</v>
      </c>
      <c r="H75" t="str">
        <f>_xlfn.XLOOKUP(AmazonSales[[#This Row],[Product ID]],Product_table[Product ID],Product_table[Category])</f>
        <v>Home</v>
      </c>
      <c r="I75" t="str">
        <f>_xlfn.XLOOKUP(AmazonSales[[#This Row],[Product ID]],Product_table[Product ID],Product_table[Product Name])</f>
        <v>Wall Clock</v>
      </c>
      <c r="J75" t="s">
        <v>45</v>
      </c>
      <c r="K75">
        <v>36</v>
      </c>
      <c r="L75">
        <v>4</v>
      </c>
      <c r="M75">
        <v>144</v>
      </c>
      <c r="N75" t="s">
        <v>17</v>
      </c>
      <c r="O75" t="s">
        <v>25</v>
      </c>
      <c r="P75" t="s">
        <v>61</v>
      </c>
      <c r="Q75" t="str">
        <f t="shared" si="1"/>
        <v>Active</v>
      </c>
      <c r="R75">
        <f>DATEDIF(AmazonSales[[#This Row],[Order Date]],AmazonSales[[#This Row],[Delivery Date]],"d")</f>
        <v>6</v>
      </c>
      <c r="S75">
        <f>IF(AmazonSales[[#This Row],[Order Status]]="Cancelled",1,0)</f>
        <v>0</v>
      </c>
      <c r="T75">
        <f>IF(AmazonSales[[#This Row],[Delivery Status]]="Delivered",1,0)</f>
        <v>1</v>
      </c>
      <c r="U75">
        <f>IF(AmazonSales[[#This Row],[Delivery Status]]="Delivered",AmazonSales[[#This Row],[Total Amount]],0)</f>
        <v>144</v>
      </c>
      <c r="V75" t="str" cm="1">
        <f t="array" ref="V75">_xlfn.IFS(AND(AmazonSales[[#This Row],[Delivery Time]]=""),"",AND(AmazonSales[[#This Row],[Delivery Time]]&lt;=2),"Fast",AND(AmazonSales[[#This Row],[Delivery Time]]&gt;2),"Slow")</f>
        <v>Slow</v>
      </c>
      <c r="W75">
        <f>IF(AmazonSales[[#This Row],[Delivery performance]]="Fast",1,0)</f>
        <v>0</v>
      </c>
    </row>
    <row r="76" spans="1:23" x14ac:dyDescent="0.3">
      <c r="A76">
        <v>1</v>
      </c>
      <c r="B76" t="s">
        <v>164</v>
      </c>
      <c r="C76" s="1">
        <v>45070</v>
      </c>
      <c r="D76" s="1"/>
      <c r="E76" s="1"/>
      <c r="F76" t="s">
        <v>43</v>
      </c>
      <c r="G76" t="s">
        <v>67</v>
      </c>
      <c r="H76" t="str">
        <f>_xlfn.XLOOKUP(AmazonSales[[#This Row],[Product ID]],Product_table[Product ID],Product_table[Category])</f>
        <v>Electronics</v>
      </c>
      <c r="I76" t="str">
        <f>_xlfn.XLOOKUP(AmazonSales[[#This Row],[Product ID]],Product_table[Product ID],Product_table[Product Name])</f>
        <v>Gaming Mouse</v>
      </c>
      <c r="J76" t="s">
        <v>23</v>
      </c>
      <c r="K76">
        <v>73</v>
      </c>
      <c r="L76">
        <v>5</v>
      </c>
      <c r="M76">
        <v>365</v>
      </c>
      <c r="N76" t="s">
        <v>17</v>
      </c>
      <c r="O76" t="s">
        <v>29</v>
      </c>
      <c r="P76" t="s">
        <v>19</v>
      </c>
      <c r="Q76" t="str">
        <f t="shared" si="1"/>
        <v>Active</v>
      </c>
      <c r="S76">
        <f>IF(AmazonSales[[#This Row],[Order Status]]="Cancelled",1,0)</f>
        <v>0</v>
      </c>
      <c r="T76">
        <f>IF(AmazonSales[[#This Row],[Delivery Status]]="Delivered",1,0)</f>
        <v>0</v>
      </c>
      <c r="U76">
        <f>IF(AmazonSales[[#This Row],[Delivery Status]]="Delivered",AmazonSales[[#This Row],[Total Amount]],0)</f>
        <v>0</v>
      </c>
      <c r="V76" t="str" cm="1">
        <f t="array" ref="V76">_xlfn.IFS(AND(AmazonSales[[#This Row],[Delivery Time]]=""),"",AND(AmazonSales[[#This Row],[Delivery Time]]&lt;=2),"Fast",AND(AmazonSales[[#This Row],[Delivery Time]]&gt;2),"Slow")</f>
        <v/>
      </c>
      <c r="W76">
        <f>IF(AmazonSales[[#This Row],[Delivery performance]]="Fast",1,0)</f>
        <v>0</v>
      </c>
    </row>
    <row r="77" spans="1:23" x14ac:dyDescent="0.3">
      <c r="A77">
        <v>1</v>
      </c>
      <c r="B77" t="s">
        <v>165</v>
      </c>
      <c r="C77" s="1">
        <v>45172</v>
      </c>
      <c r="D77" s="1">
        <v>45178</v>
      </c>
      <c r="E77" s="1"/>
      <c r="F77" t="s">
        <v>63</v>
      </c>
      <c r="G77" t="s">
        <v>53</v>
      </c>
      <c r="H77" t="str">
        <f>_xlfn.XLOOKUP(AmazonSales[[#This Row],[Product ID]],Product_table[Product ID],Product_table[Category])</f>
        <v>Fashion</v>
      </c>
      <c r="I77" t="str">
        <f>_xlfn.XLOOKUP(AmazonSales[[#This Row],[Product ID]],Product_table[Product ID],Product_table[Product Name])</f>
        <v>Formal Shirt</v>
      </c>
      <c r="J77" t="s">
        <v>16</v>
      </c>
      <c r="K77">
        <v>43</v>
      </c>
      <c r="L77">
        <v>4</v>
      </c>
      <c r="M77">
        <v>172</v>
      </c>
      <c r="N77" t="s">
        <v>46</v>
      </c>
      <c r="O77" t="s">
        <v>25</v>
      </c>
      <c r="P77" t="s">
        <v>19</v>
      </c>
      <c r="Q77" t="str">
        <f t="shared" si="1"/>
        <v>Active</v>
      </c>
      <c r="R77">
        <f>DATEDIF(AmazonSales[[#This Row],[Order Date]],AmazonSales[[#This Row],[Delivery Date]],"d")</f>
        <v>6</v>
      </c>
      <c r="S77">
        <f>IF(AmazonSales[[#This Row],[Order Status]]="Cancelled",1,0)</f>
        <v>0</v>
      </c>
      <c r="T77">
        <f>IF(AmazonSales[[#This Row],[Delivery Status]]="Delivered",1,0)</f>
        <v>1</v>
      </c>
      <c r="U77">
        <f>IF(AmazonSales[[#This Row],[Delivery Status]]="Delivered",AmazonSales[[#This Row],[Total Amount]],0)</f>
        <v>172</v>
      </c>
      <c r="V77" t="str" cm="1">
        <f t="array" ref="V77">_xlfn.IFS(AND(AmazonSales[[#This Row],[Delivery Time]]=""),"",AND(AmazonSales[[#This Row],[Delivery Time]]&lt;=2),"Fast",AND(AmazonSales[[#This Row],[Delivery Time]]&gt;2),"Slow")</f>
        <v>Slow</v>
      </c>
      <c r="W77">
        <f>IF(AmazonSales[[#This Row],[Delivery performance]]="Fast",1,0)</f>
        <v>0</v>
      </c>
    </row>
    <row r="78" spans="1:23" x14ac:dyDescent="0.3">
      <c r="A78">
        <v>1</v>
      </c>
      <c r="B78" t="s">
        <v>166</v>
      </c>
      <c r="C78" s="1">
        <v>45232</v>
      </c>
      <c r="D78" s="1">
        <v>45234</v>
      </c>
      <c r="E78" s="1"/>
      <c r="F78" t="s">
        <v>150</v>
      </c>
      <c r="G78" t="s">
        <v>111</v>
      </c>
      <c r="H78" t="str">
        <f>_xlfn.XLOOKUP(AmazonSales[[#This Row],[Product ID]],Product_table[Product ID],Product_table[Category])</f>
        <v>Home</v>
      </c>
      <c r="I78" t="str">
        <f>_xlfn.XLOOKUP(AmazonSales[[#This Row],[Product ID]],Product_table[Product ID],Product_table[Product Name])</f>
        <v>Cookware Set Pro</v>
      </c>
      <c r="J78" t="s">
        <v>50</v>
      </c>
      <c r="K78">
        <v>214</v>
      </c>
      <c r="L78">
        <v>5</v>
      </c>
      <c r="M78">
        <v>1070</v>
      </c>
      <c r="N78" t="s">
        <v>46</v>
      </c>
      <c r="O78" t="s">
        <v>25</v>
      </c>
      <c r="P78" t="s">
        <v>34</v>
      </c>
      <c r="Q78" t="str">
        <f t="shared" si="1"/>
        <v>Active</v>
      </c>
      <c r="R78">
        <f>DATEDIF(AmazonSales[[#This Row],[Order Date]],AmazonSales[[#This Row],[Delivery Date]],"d")</f>
        <v>2</v>
      </c>
      <c r="S78">
        <f>IF(AmazonSales[[#This Row],[Order Status]]="Cancelled",1,0)</f>
        <v>0</v>
      </c>
      <c r="T78">
        <f>IF(AmazonSales[[#This Row],[Delivery Status]]="Delivered",1,0)</f>
        <v>1</v>
      </c>
      <c r="U78">
        <f>IF(AmazonSales[[#This Row],[Delivery Status]]="Delivered",AmazonSales[[#This Row],[Total Amount]],0)</f>
        <v>1070</v>
      </c>
      <c r="V78" t="str" cm="1">
        <f t="array" ref="V78">_xlfn.IFS(AND(AmazonSales[[#This Row],[Delivery Time]]=""),"",AND(AmazonSales[[#This Row],[Delivery Time]]&lt;=2),"Fast",AND(AmazonSales[[#This Row],[Delivery Time]]&gt;2),"Slow")</f>
        <v>Fast</v>
      </c>
      <c r="W78">
        <f>IF(AmazonSales[[#This Row],[Delivery performance]]="Fast",1,0)</f>
        <v>1</v>
      </c>
    </row>
    <row r="79" spans="1:23" x14ac:dyDescent="0.3">
      <c r="A79">
        <v>1</v>
      </c>
      <c r="B79" t="s">
        <v>167</v>
      </c>
      <c r="C79" s="1">
        <v>44997</v>
      </c>
      <c r="D79" s="1"/>
      <c r="E79" s="1">
        <v>45089</v>
      </c>
      <c r="F79" t="s">
        <v>152</v>
      </c>
      <c r="G79" t="s">
        <v>90</v>
      </c>
      <c r="H79" t="str">
        <f>_xlfn.XLOOKUP(AmazonSales[[#This Row],[Product ID]],Product_table[Product ID],Product_table[Category])</f>
        <v>Toys</v>
      </c>
      <c r="I79" t="str">
        <f>_xlfn.XLOOKUP(AmazonSales[[#This Row],[Product ID]],Product_table[Product ID],Product_table[Product Name])</f>
        <v>Action Figure</v>
      </c>
      <c r="J79" t="s">
        <v>45</v>
      </c>
      <c r="K79">
        <v>42</v>
      </c>
      <c r="L79">
        <v>2</v>
      </c>
      <c r="M79">
        <v>84</v>
      </c>
      <c r="N79" t="s">
        <v>17</v>
      </c>
      <c r="O79" t="s">
        <v>18</v>
      </c>
      <c r="P79" t="s">
        <v>34</v>
      </c>
      <c r="Q79" t="str">
        <f t="shared" si="1"/>
        <v>Cancelled</v>
      </c>
      <c r="S79">
        <f>IF(AmazonSales[[#This Row],[Order Status]]="Cancelled",1,0)</f>
        <v>1</v>
      </c>
      <c r="T79">
        <f>IF(AmazonSales[[#This Row],[Delivery Status]]="Delivered",1,0)</f>
        <v>0</v>
      </c>
      <c r="U79">
        <f>IF(AmazonSales[[#This Row],[Delivery Status]]="Delivered",AmazonSales[[#This Row],[Total Amount]],0)</f>
        <v>0</v>
      </c>
      <c r="V79" t="str" cm="1">
        <f t="array" ref="V79">_xlfn.IFS(AND(AmazonSales[[#This Row],[Delivery Time]]=""),"",AND(AmazonSales[[#This Row],[Delivery Time]]&lt;=2),"Fast",AND(AmazonSales[[#This Row],[Delivery Time]]&gt;2),"Slow")</f>
        <v/>
      </c>
      <c r="W79">
        <f>IF(AmazonSales[[#This Row],[Delivery performance]]="Fast",1,0)</f>
        <v>0</v>
      </c>
    </row>
    <row r="80" spans="1:23" x14ac:dyDescent="0.3">
      <c r="A80">
        <v>1</v>
      </c>
      <c r="B80" t="s">
        <v>168</v>
      </c>
      <c r="C80" s="1">
        <v>44930</v>
      </c>
      <c r="D80" s="1"/>
      <c r="E80" s="1"/>
      <c r="F80" t="s">
        <v>152</v>
      </c>
      <c r="G80" t="s">
        <v>15</v>
      </c>
      <c r="H80" t="str">
        <f>_xlfn.XLOOKUP(AmazonSales[[#This Row],[Product ID]],Product_table[Product ID],Product_table[Category])</f>
        <v>Home</v>
      </c>
      <c r="I80" t="str">
        <f>_xlfn.XLOOKUP(AmazonSales[[#This Row],[Product ID]],Product_table[Product ID],Product_table[Product Name])</f>
        <v>Lamp</v>
      </c>
      <c r="J80" t="s">
        <v>16</v>
      </c>
      <c r="K80">
        <v>46</v>
      </c>
      <c r="L80">
        <v>1</v>
      </c>
      <c r="M80">
        <v>46</v>
      </c>
      <c r="N80" t="s">
        <v>41</v>
      </c>
      <c r="O80" t="s">
        <v>29</v>
      </c>
      <c r="P80" t="s">
        <v>34</v>
      </c>
      <c r="Q80" t="str">
        <f t="shared" si="1"/>
        <v>Active</v>
      </c>
      <c r="S80">
        <f>IF(AmazonSales[[#This Row],[Order Status]]="Cancelled",1,0)</f>
        <v>0</v>
      </c>
      <c r="T80">
        <f>IF(AmazonSales[[#This Row],[Delivery Status]]="Delivered",1,0)</f>
        <v>0</v>
      </c>
      <c r="U80">
        <f>IF(AmazonSales[[#This Row],[Delivery Status]]="Delivered",AmazonSales[[#This Row],[Total Amount]],0)</f>
        <v>0</v>
      </c>
      <c r="V80" t="str" cm="1">
        <f t="array" ref="V80">_xlfn.IFS(AND(AmazonSales[[#This Row],[Delivery Time]]=""),"",AND(AmazonSales[[#This Row],[Delivery Time]]&lt;=2),"Fast",AND(AmazonSales[[#This Row],[Delivery Time]]&gt;2),"Slow")</f>
        <v/>
      </c>
      <c r="W80">
        <f>IF(AmazonSales[[#This Row],[Delivery performance]]="Fast",1,0)</f>
        <v>0</v>
      </c>
    </row>
    <row r="81" spans="1:23" x14ac:dyDescent="0.3">
      <c r="A81">
        <v>1</v>
      </c>
      <c r="B81" t="s">
        <v>169</v>
      </c>
      <c r="C81" s="1">
        <v>45215</v>
      </c>
      <c r="D81" s="1">
        <v>45218</v>
      </c>
      <c r="E81" s="1"/>
      <c r="F81" t="s">
        <v>108</v>
      </c>
      <c r="G81" t="s">
        <v>22</v>
      </c>
      <c r="H81" t="str">
        <f>_xlfn.XLOOKUP(AmazonSales[[#This Row],[Product ID]],Product_table[Product ID],Product_table[Category])</f>
        <v>Toys</v>
      </c>
      <c r="I81" t="str">
        <f>_xlfn.XLOOKUP(AmazonSales[[#This Row],[Product ID]],Product_table[Product ID],Product_table[Product Name])</f>
        <v>Doll House</v>
      </c>
      <c r="J81" t="s">
        <v>23</v>
      </c>
      <c r="K81">
        <v>95</v>
      </c>
      <c r="L81">
        <v>4</v>
      </c>
      <c r="M81">
        <v>380</v>
      </c>
      <c r="N81" t="s">
        <v>24</v>
      </c>
      <c r="O81" t="s">
        <v>25</v>
      </c>
      <c r="P81" t="s">
        <v>34</v>
      </c>
      <c r="Q81" t="str">
        <f t="shared" si="1"/>
        <v>Active</v>
      </c>
      <c r="R81">
        <f>DATEDIF(AmazonSales[[#This Row],[Order Date]],AmazonSales[[#This Row],[Delivery Date]],"d")</f>
        <v>3</v>
      </c>
      <c r="S81">
        <f>IF(AmazonSales[[#This Row],[Order Status]]="Cancelled",1,0)</f>
        <v>0</v>
      </c>
      <c r="T81">
        <f>IF(AmazonSales[[#This Row],[Delivery Status]]="Delivered",1,0)</f>
        <v>1</v>
      </c>
      <c r="U81">
        <f>IF(AmazonSales[[#This Row],[Delivery Status]]="Delivered",AmazonSales[[#This Row],[Total Amount]],0)</f>
        <v>380</v>
      </c>
      <c r="V81" t="str" cm="1">
        <f t="array" ref="V81">_xlfn.IFS(AND(AmazonSales[[#This Row],[Delivery Time]]=""),"",AND(AmazonSales[[#This Row],[Delivery Time]]&lt;=2),"Fast",AND(AmazonSales[[#This Row],[Delivery Time]]&gt;2),"Slow")</f>
        <v>Slow</v>
      </c>
      <c r="W81">
        <f>IF(AmazonSales[[#This Row],[Delivery performance]]="Fast",1,0)</f>
        <v>0</v>
      </c>
    </row>
    <row r="82" spans="1:23" x14ac:dyDescent="0.3">
      <c r="A82">
        <v>1</v>
      </c>
      <c r="B82" t="s">
        <v>170</v>
      </c>
      <c r="C82" s="1">
        <v>45057</v>
      </c>
      <c r="D82" s="1"/>
      <c r="E82" s="1"/>
      <c r="F82" t="s">
        <v>121</v>
      </c>
      <c r="G82" t="s">
        <v>109</v>
      </c>
      <c r="H82" t="str">
        <f>_xlfn.XLOOKUP(AmazonSales[[#This Row],[Product ID]],Product_table[Product ID],Product_table[Category])</f>
        <v>Electronics</v>
      </c>
      <c r="I82" t="str">
        <f>_xlfn.XLOOKUP(AmazonSales[[#This Row],[Product ID]],Product_table[Product ID],Product_table[Product Name])</f>
        <v>Headphones</v>
      </c>
      <c r="J82" t="s">
        <v>50</v>
      </c>
      <c r="K82">
        <v>174</v>
      </c>
      <c r="L82">
        <v>2</v>
      </c>
      <c r="M82">
        <v>348</v>
      </c>
      <c r="N82" t="s">
        <v>33</v>
      </c>
      <c r="O82" t="s">
        <v>29</v>
      </c>
      <c r="P82" t="s">
        <v>34</v>
      </c>
      <c r="Q82" t="str">
        <f t="shared" si="1"/>
        <v>Active</v>
      </c>
      <c r="S82">
        <f>IF(AmazonSales[[#This Row],[Order Status]]="Cancelled",1,0)</f>
        <v>0</v>
      </c>
      <c r="T82">
        <f>IF(AmazonSales[[#This Row],[Delivery Status]]="Delivered",1,0)</f>
        <v>0</v>
      </c>
      <c r="U82">
        <f>IF(AmazonSales[[#This Row],[Delivery Status]]="Delivered",AmazonSales[[#This Row],[Total Amount]],0)</f>
        <v>0</v>
      </c>
      <c r="V82" t="str" cm="1">
        <f t="array" ref="V82">_xlfn.IFS(AND(AmazonSales[[#This Row],[Delivery Time]]=""),"",AND(AmazonSales[[#This Row],[Delivery Time]]&lt;=2),"Fast",AND(AmazonSales[[#This Row],[Delivery Time]]&gt;2),"Slow")</f>
        <v/>
      </c>
      <c r="W82">
        <f>IF(AmazonSales[[#This Row],[Delivery performance]]="Fast",1,0)</f>
        <v>0</v>
      </c>
    </row>
    <row r="83" spans="1:23" x14ac:dyDescent="0.3">
      <c r="A83">
        <v>1</v>
      </c>
      <c r="B83" t="s">
        <v>171</v>
      </c>
      <c r="C83" s="1">
        <v>45092</v>
      </c>
      <c r="D83" s="1"/>
      <c r="E83" s="1">
        <v>45095</v>
      </c>
      <c r="F83" t="s">
        <v>57</v>
      </c>
      <c r="G83" t="s">
        <v>69</v>
      </c>
      <c r="H83" t="str">
        <f>_xlfn.XLOOKUP(AmazonSales[[#This Row],[Product ID]],Product_table[Product ID],Product_table[Category])</f>
        <v>Fashion</v>
      </c>
      <c r="I83" t="str">
        <f>_xlfn.XLOOKUP(AmazonSales[[#This Row],[Product ID]],Product_table[Product ID],Product_table[Product Name])</f>
        <v>T-Shirt</v>
      </c>
      <c r="J83" t="s">
        <v>16</v>
      </c>
      <c r="K83">
        <v>27</v>
      </c>
      <c r="L83">
        <v>5</v>
      </c>
      <c r="M83">
        <v>135</v>
      </c>
      <c r="N83" t="s">
        <v>24</v>
      </c>
      <c r="O83" t="s">
        <v>18</v>
      </c>
      <c r="P83" t="s">
        <v>38</v>
      </c>
      <c r="Q83" t="str">
        <f t="shared" si="1"/>
        <v>Cancelled</v>
      </c>
      <c r="S83">
        <f>IF(AmazonSales[[#This Row],[Order Status]]="Cancelled",1,0)</f>
        <v>1</v>
      </c>
      <c r="T83">
        <f>IF(AmazonSales[[#This Row],[Delivery Status]]="Delivered",1,0)</f>
        <v>0</v>
      </c>
      <c r="U83">
        <f>IF(AmazonSales[[#This Row],[Delivery Status]]="Delivered",AmazonSales[[#This Row],[Total Amount]],0)</f>
        <v>0</v>
      </c>
      <c r="V83" t="str" cm="1">
        <f t="array" ref="V83">_xlfn.IFS(AND(AmazonSales[[#This Row],[Delivery Time]]=""),"",AND(AmazonSales[[#This Row],[Delivery Time]]&lt;=2),"Fast",AND(AmazonSales[[#This Row],[Delivery Time]]&gt;2),"Slow")</f>
        <v/>
      </c>
      <c r="W83">
        <f>IF(AmazonSales[[#This Row],[Delivery performance]]="Fast",1,0)</f>
        <v>0</v>
      </c>
    </row>
    <row r="84" spans="1:23" x14ac:dyDescent="0.3">
      <c r="A84">
        <v>1</v>
      </c>
      <c r="B84" t="s">
        <v>172</v>
      </c>
      <c r="C84" s="1">
        <v>45227</v>
      </c>
      <c r="D84" s="1">
        <v>45229</v>
      </c>
      <c r="E84" s="1"/>
      <c r="F84" t="s">
        <v>14</v>
      </c>
      <c r="G84" t="s">
        <v>69</v>
      </c>
      <c r="H84" t="str">
        <f>_xlfn.XLOOKUP(AmazonSales[[#This Row],[Product ID]],Product_table[Product ID],Product_table[Category])</f>
        <v>Fashion</v>
      </c>
      <c r="I84" t="str">
        <f>_xlfn.XLOOKUP(AmazonSales[[#This Row],[Product ID]],Product_table[Product ID],Product_table[Product Name])</f>
        <v>T-Shirt</v>
      </c>
      <c r="J84" t="s">
        <v>28</v>
      </c>
      <c r="K84">
        <v>27</v>
      </c>
      <c r="L84">
        <v>4</v>
      </c>
      <c r="M84">
        <v>108</v>
      </c>
      <c r="N84" t="s">
        <v>33</v>
      </c>
      <c r="O84" t="s">
        <v>25</v>
      </c>
      <c r="P84" t="s">
        <v>30</v>
      </c>
      <c r="Q84" t="str">
        <f t="shared" si="1"/>
        <v>Active</v>
      </c>
      <c r="R84">
        <f>DATEDIF(AmazonSales[[#This Row],[Order Date]],AmazonSales[[#This Row],[Delivery Date]],"d")</f>
        <v>2</v>
      </c>
      <c r="S84">
        <f>IF(AmazonSales[[#This Row],[Order Status]]="Cancelled",1,0)</f>
        <v>0</v>
      </c>
      <c r="T84">
        <f>IF(AmazonSales[[#This Row],[Delivery Status]]="Delivered",1,0)</f>
        <v>1</v>
      </c>
      <c r="U84">
        <f>IF(AmazonSales[[#This Row],[Delivery Status]]="Delivered",AmazonSales[[#This Row],[Total Amount]],0)</f>
        <v>108</v>
      </c>
      <c r="V84" t="str" cm="1">
        <f t="array" ref="V84">_xlfn.IFS(AND(AmazonSales[[#This Row],[Delivery Time]]=""),"",AND(AmazonSales[[#This Row],[Delivery Time]]&lt;=2),"Fast",AND(AmazonSales[[#This Row],[Delivery Time]]&gt;2),"Slow")</f>
        <v>Fast</v>
      </c>
      <c r="W84">
        <f>IF(AmazonSales[[#This Row],[Delivery performance]]="Fast",1,0)</f>
        <v>1</v>
      </c>
    </row>
    <row r="85" spans="1:23" x14ac:dyDescent="0.3">
      <c r="A85">
        <v>1</v>
      </c>
      <c r="B85" t="s">
        <v>173</v>
      </c>
      <c r="C85" s="1">
        <v>44938</v>
      </c>
      <c r="D85" s="1"/>
      <c r="E85" s="1"/>
      <c r="F85" t="s">
        <v>174</v>
      </c>
      <c r="G85" t="s">
        <v>92</v>
      </c>
      <c r="H85" t="str">
        <f>_xlfn.XLOOKUP(AmazonSales[[#This Row],[Product ID]],Product_table[Product ID],Product_table[Category])</f>
        <v>Fashion</v>
      </c>
      <c r="I85" t="str">
        <f>_xlfn.XLOOKUP(AmazonSales[[#This Row],[Product ID]],Product_table[Product ID],Product_table[Product Name])</f>
        <v>Backpack</v>
      </c>
      <c r="J85" t="s">
        <v>28</v>
      </c>
      <c r="K85">
        <v>65</v>
      </c>
      <c r="L85">
        <v>2</v>
      </c>
      <c r="M85">
        <v>130</v>
      </c>
      <c r="N85" t="s">
        <v>33</v>
      </c>
      <c r="O85" t="s">
        <v>29</v>
      </c>
      <c r="P85" t="s">
        <v>19</v>
      </c>
      <c r="Q85" t="str">
        <f t="shared" si="1"/>
        <v>Active</v>
      </c>
      <c r="S85">
        <f>IF(AmazonSales[[#This Row],[Order Status]]="Cancelled",1,0)</f>
        <v>0</v>
      </c>
      <c r="T85">
        <f>IF(AmazonSales[[#This Row],[Delivery Status]]="Delivered",1,0)</f>
        <v>0</v>
      </c>
      <c r="U85">
        <f>IF(AmazonSales[[#This Row],[Delivery Status]]="Delivered",AmazonSales[[#This Row],[Total Amount]],0)</f>
        <v>0</v>
      </c>
      <c r="V85" t="str" cm="1">
        <f t="array" ref="V85">_xlfn.IFS(AND(AmazonSales[[#This Row],[Delivery Time]]=""),"",AND(AmazonSales[[#This Row],[Delivery Time]]&lt;=2),"Fast",AND(AmazonSales[[#This Row],[Delivery Time]]&gt;2),"Slow")</f>
        <v/>
      </c>
      <c r="W85">
        <f>IF(AmazonSales[[#This Row],[Delivery performance]]="Fast",1,0)</f>
        <v>0</v>
      </c>
    </row>
    <row r="86" spans="1:23" x14ac:dyDescent="0.3">
      <c r="A86">
        <v>1</v>
      </c>
      <c r="B86" t="s">
        <v>175</v>
      </c>
      <c r="C86" s="1">
        <v>45110</v>
      </c>
      <c r="D86" s="1"/>
      <c r="E86" s="1"/>
      <c r="F86" t="s">
        <v>60</v>
      </c>
      <c r="G86" t="s">
        <v>53</v>
      </c>
      <c r="H86" t="str">
        <f>_xlfn.XLOOKUP(AmazonSales[[#This Row],[Product ID]],Product_table[Product ID],Product_table[Category])</f>
        <v>Fashion</v>
      </c>
      <c r="I86" t="str">
        <f>_xlfn.XLOOKUP(AmazonSales[[#This Row],[Product ID]],Product_table[Product ID],Product_table[Product Name])</f>
        <v>Formal Shirt</v>
      </c>
      <c r="J86" t="s">
        <v>23</v>
      </c>
      <c r="K86">
        <v>43</v>
      </c>
      <c r="L86">
        <v>5</v>
      </c>
      <c r="M86">
        <v>215</v>
      </c>
      <c r="N86" t="s">
        <v>46</v>
      </c>
      <c r="O86" t="s">
        <v>29</v>
      </c>
      <c r="P86" t="s">
        <v>19</v>
      </c>
      <c r="Q86" t="str">
        <f t="shared" si="1"/>
        <v>Active</v>
      </c>
      <c r="S86">
        <f>IF(AmazonSales[[#This Row],[Order Status]]="Cancelled",1,0)</f>
        <v>0</v>
      </c>
      <c r="T86">
        <f>IF(AmazonSales[[#This Row],[Delivery Status]]="Delivered",1,0)</f>
        <v>0</v>
      </c>
      <c r="U86">
        <f>IF(AmazonSales[[#This Row],[Delivery Status]]="Delivered",AmazonSales[[#This Row],[Total Amount]],0)</f>
        <v>0</v>
      </c>
      <c r="V86" t="str" cm="1">
        <f t="array" ref="V86">_xlfn.IFS(AND(AmazonSales[[#This Row],[Delivery Time]]=""),"",AND(AmazonSales[[#This Row],[Delivery Time]]&lt;=2),"Fast",AND(AmazonSales[[#This Row],[Delivery Time]]&gt;2),"Slow")</f>
        <v/>
      </c>
      <c r="W86">
        <f>IF(AmazonSales[[#This Row],[Delivery performance]]="Fast",1,0)</f>
        <v>0</v>
      </c>
    </row>
    <row r="87" spans="1:23" x14ac:dyDescent="0.3">
      <c r="A87">
        <v>1</v>
      </c>
      <c r="B87" t="s">
        <v>176</v>
      </c>
      <c r="C87" s="1">
        <v>45210</v>
      </c>
      <c r="D87" s="1"/>
      <c r="E87" s="1"/>
      <c r="F87" t="s">
        <v>97</v>
      </c>
      <c r="G87" t="s">
        <v>111</v>
      </c>
      <c r="H87" t="str">
        <f>_xlfn.XLOOKUP(AmazonSales[[#This Row],[Product ID]],Product_table[Product ID],Product_table[Category])</f>
        <v>Home</v>
      </c>
      <c r="I87" t="str">
        <f>_xlfn.XLOOKUP(AmazonSales[[#This Row],[Product ID]],Product_table[Product ID],Product_table[Product Name])</f>
        <v>Cookware Set Pro</v>
      </c>
      <c r="J87" t="s">
        <v>50</v>
      </c>
      <c r="K87">
        <v>210</v>
      </c>
      <c r="L87">
        <v>1</v>
      </c>
      <c r="M87">
        <v>210</v>
      </c>
      <c r="N87" t="s">
        <v>33</v>
      </c>
      <c r="O87" t="s">
        <v>29</v>
      </c>
      <c r="P87" t="s">
        <v>34</v>
      </c>
      <c r="Q87" t="str">
        <f t="shared" si="1"/>
        <v>Active</v>
      </c>
      <c r="S87">
        <f>IF(AmazonSales[[#This Row],[Order Status]]="Cancelled",1,0)</f>
        <v>0</v>
      </c>
      <c r="T87">
        <f>IF(AmazonSales[[#This Row],[Delivery Status]]="Delivered",1,0)</f>
        <v>0</v>
      </c>
      <c r="U87">
        <f>IF(AmazonSales[[#This Row],[Delivery Status]]="Delivered",AmazonSales[[#This Row],[Total Amount]],0)</f>
        <v>0</v>
      </c>
      <c r="V87" t="str" cm="1">
        <f t="array" ref="V87">_xlfn.IFS(AND(AmazonSales[[#This Row],[Delivery Time]]=""),"",AND(AmazonSales[[#This Row],[Delivery Time]]&lt;=2),"Fast",AND(AmazonSales[[#This Row],[Delivery Time]]&gt;2),"Slow")</f>
        <v/>
      </c>
      <c r="W87">
        <f>IF(AmazonSales[[#This Row],[Delivery performance]]="Fast",1,0)</f>
        <v>0</v>
      </c>
    </row>
    <row r="88" spans="1:23" x14ac:dyDescent="0.3">
      <c r="A88">
        <v>1</v>
      </c>
      <c r="B88" t="s">
        <v>177</v>
      </c>
      <c r="C88" s="1">
        <v>45252</v>
      </c>
      <c r="D88" s="1"/>
      <c r="E88" s="1"/>
      <c r="F88" t="s">
        <v>178</v>
      </c>
      <c r="G88" t="s">
        <v>49</v>
      </c>
      <c r="H88" t="str">
        <f>_xlfn.XLOOKUP(AmazonSales[[#This Row],[Product ID]],Product_table[Product ID],Product_table[Category])</f>
        <v>Home</v>
      </c>
      <c r="I88" t="str">
        <f>_xlfn.XLOOKUP(AmazonSales[[#This Row],[Product ID]],Product_table[Product ID],Product_table[Product Name])</f>
        <v>Wall Clock</v>
      </c>
      <c r="J88" t="s">
        <v>28</v>
      </c>
      <c r="K88">
        <v>37</v>
      </c>
      <c r="L88">
        <v>3</v>
      </c>
      <c r="M88">
        <v>111</v>
      </c>
      <c r="N88" t="s">
        <v>24</v>
      </c>
      <c r="O88" t="s">
        <v>29</v>
      </c>
      <c r="P88" t="s">
        <v>34</v>
      </c>
      <c r="Q88" t="str">
        <f t="shared" si="1"/>
        <v>Active</v>
      </c>
      <c r="S88">
        <f>IF(AmazonSales[[#This Row],[Order Status]]="Cancelled",1,0)</f>
        <v>0</v>
      </c>
      <c r="T88">
        <f>IF(AmazonSales[[#This Row],[Delivery Status]]="Delivered",1,0)</f>
        <v>0</v>
      </c>
      <c r="U88">
        <f>IF(AmazonSales[[#This Row],[Delivery Status]]="Delivered",AmazonSales[[#This Row],[Total Amount]],0)</f>
        <v>0</v>
      </c>
      <c r="V88" t="str" cm="1">
        <f t="array" ref="V88">_xlfn.IFS(AND(AmazonSales[[#This Row],[Delivery Time]]=""),"",AND(AmazonSales[[#This Row],[Delivery Time]]&lt;=2),"Fast",AND(AmazonSales[[#This Row],[Delivery Time]]&gt;2),"Slow")</f>
        <v/>
      </c>
      <c r="W88">
        <f>IF(AmazonSales[[#This Row],[Delivery performance]]="Fast",1,0)</f>
        <v>0</v>
      </c>
    </row>
    <row r="89" spans="1:23" x14ac:dyDescent="0.3">
      <c r="A89">
        <v>1</v>
      </c>
      <c r="B89" t="s">
        <v>179</v>
      </c>
      <c r="C89" s="1">
        <v>45143</v>
      </c>
      <c r="D89" s="1"/>
      <c r="E89" s="1"/>
      <c r="F89" t="s">
        <v>97</v>
      </c>
      <c r="G89" t="s">
        <v>81</v>
      </c>
      <c r="H89" t="str">
        <f>_xlfn.XLOOKUP(AmazonSales[[#This Row],[Product ID]],Product_table[Product ID],Product_table[Category])</f>
        <v>Electronics</v>
      </c>
      <c r="I89" t="str">
        <f>_xlfn.XLOOKUP(AmazonSales[[#This Row],[Product ID]],Product_table[Product ID],Product_table[Product Name])</f>
        <v>Smartphone</v>
      </c>
      <c r="J89" t="s">
        <v>28</v>
      </c>
      <c r="K89">
        <v>788</v>
      </c>
      <c r="L89">
        <v>4</v>
      </c>
      <c r="M89">
        <v>3152</v>
      </c>
      <c r="N89" t="s">
        <v>46</v>
      </c>
      <c r="O89" t="s">
        <v>29</v>
      </c>
      <c r="P89" t="s">
        <v>38</v>
      </c>
      <c r="Q89" t="str">
        <f t="shared" si="1"/>
        <v>Active</v>
      </c>
      <c r="S89">
        <f>IF(AmazonSales[[#This Row],[Order Status]]="Cancelled",1,0)</f>
        <v>0</v>
      </c>
      <c r="T89">
        <f>IF(AmazonSales[[#This Row],[Delivery Status]]="Delivered",1,0)</f>
        <v>0</v>
      </c>
      <c r="U89">
        <f>IF(AmazonSales[[#This Row],[Delivery Status]]="Delivered",AmazonSales[[#This Row],[Total Amount]],0)</f>
        <v>0</v>
      </c>
      <c r="V89" t="str" cm="1">
        <f t="array" ref="V89">_xlfn.IFS(AND(AmazonSales[[#This Row],[Delivery Time]]=""),"",AND(AmazonSales[[#This Row],[Delivery Time]]&lt;=2),"Fast",AND(AmazonSales[[#This Row],[Delivery Time]]&gt;2),"Slow")</f>
        <v/>
      </c>
      <c r="W89">
        <f>IF(AmazonSales[[#This Row],[Delivery performance]]="Fast",1,0)</f>
        <v>0</v>
      </c>
    </row>
    <row r="90" spans="1:23" x14ac:dyDescent="0.3">
      <c r="A90">
        <v>1</v>
      </c>
      <c r="B90" t="s">
        <v>180</v>
      </c>
      <c r="C90" s="1">
        <v>45120</v>
      </c>
      <c r="D90" s="1"/>
      <c r="E90" s="1"/>
      <c r="F90" t="s">
        <v>97</v>
      </c>
      <c r="G90" t="s">
        <v>111</v>
      </c>
      <c r="H90" t="str">
        <f>_xlfn.XLOOKUP(AmazonSales[[#This Row],[Product ID]],Product_table[Product ID],Product_table[Category])</f>
        <v>Home</v>
      </c>
      <c r="I90" t="str">
        <f>_xlfn.XLOOKUP(AmazonSales[[#This Row],[Product ID]],Product_table[Product ID],Product_table[Product Name])</f>
        <v>Cookware Set Pro</v>
      </c>
      <c r="J90" t="s">
        <v>50</v>
      </c>
      <c r="K90">
        <v>217</v>
      </c>
      <c r="L90">
        <v>5</v>
      </c>
      <c r="M90">
        <v>1085</v>
      </c>
      <c r="N90" t="s">
        <v>46</v>
      </c>
      <c r="O90" t="s">
        <v>29</v>
      </c>
      <c r="P90" t="s">
        <v>61</v>
      </c>
      <c r="Q90" t="str">
        <f t="shared" si="1"/>
        <v>Active</v>
      </c>
      <c r="S90">
        <f>IF(AmazonSales[[#This Row],[Order Status]]="Cancelled",1,0)</f>
        <v>0</v>
      </c>
      <c r="T90">
        <f>IF(AmazonSales[[#This Row],[Delivery Status]]="Delivered",1,0)</f>
        <v>0</v>
      </c>
      <c r="U90">
        <f>IF(AmazonSales[[#This Row],[Delivery Status]]="Delivered",AmazonSales[[#This Row],[Total Amount]],0)</f>
        <v>0</v>
      </c>
      <c r="V90" t="str" cm="1">
        <f t="array" ref="V90">_xlfn.IFS(AND(AmazonSales[[#This Row],[Delivery Time]]=""),"",AND(AmazonSales[[#This Row],[Delivery Time]]&lt;=2),"Fast",AND(AmazonSales[[#This Row],[Delivery Time]]&gt;2),"Slow")</f>
        <v/>
      </c>
      <c r="W90">
        <f>IF(AmazonSales[[#This Row],[Delivery performance]]="Fast",1,0)</f>
        <v>0</v>
      </c>
    </row>
    <row r="91" spans="1:23" x14ac:dyDescent="0.3">
      <c r="A91">
        <v>1</v>
      </c>
      <c r="B91" t="s">
        <v>181</v>
      </c>
      <c r="C91" s="1">
        <v>44944</v>
      </c>
      <c r="D91" s="1"/>
      <c r="E91" s="1"/>
      <c r="F91" t="s">
        <v>97</v>
      </c>
      <c r="G91" t="s">
        <v>55</v>
      </c>
      <c r="H91" t="str">
        <f>_xlfn.XLOOKUP(AmazonSales[[#This Row],[Product ID]],Product_table[Product ID],Product_table[Category])</f>
        <v>Home</v>
      </c>
      <c r="I91" t="str">
        <f>_xlfn.XLOOKUP(AmazonSales[[#This Row],[Product ID]],Product_table[Product ID],Product_table[Product Name])</f>
        <v>Cookware Set</v>
      </c>
      <c r="J91" t="s">
        <v>50</v>
      </c>
      <c r="K91">
        <v>138</v>
      </c>
      <c r="L91">
        <v>4</v>
      </c>
      <c r="M91">
        <v>552</v>
      </c>
      <c r="N91" t="s">
        <v>24</v>
      </c>
      <c r="O91" t="s">
        <v>29</v>
      </c>
      <c r="P91" t="s">
        <v>61</v>
      </c>
      <c r="Q91" t="str">
        <f t="shared" si="1"/>
        <v>Active</v>
      </c>
      <c r="S91">
        <f>IF(AmazonSales[[#This Row],[Order Status]]="Cancelled",1,0)</f>
        <v>0</v>
      </c>
      <c r="T91">
        <f>IF(AmazonSales[[#This Row],[Delivery Status]]="Delivered",1,0)</f>
        <v>0</v>
      </c>
      <c r="U91">
        <f>IF(AmazonSales[[#This Row],[Delivery Status]]="Delivered",AmazonSales[[#This Row],[Total Amount]],0)</f>
        <v>0</v>
      </c>
      <c r="V91" t="str" cm="1">
        <f t="array" ref="V91">_xlfn.IFS(AND(AmazonSales[[#This Row],[Delivery Time]]=""),"",AND(AmazonSales[[#This Row],[Delivery Time]]&lt;=2),"Fast",AND(AmazonSales[[#This Row],[Delivery Time]]&gt;2),"Slow")</f>
        <v/>
      </c>
      <c r="W91">
        <f>IF(AmazonSales[[#This Row],[Delivery performance]]="Fast",1,0)</f>
        <v>0</v>
      </c>
    </row>
    <row r="92" spans="1:23" x14ac:dyDescent="0.3">
      <c r="A92">
        <v>1</v>
      </c>
      <c r="B92" t="s">
        <v>182</v>
      </c>
      <c r="C92" s="1">
        <v>45100</v>
      </c>
      <c r="D92" s="1">
        <v>45106</v>
      </c>
      <c r="E92" s="1"/>
      <c r="F92" t="s">
        <v>183</v>
      </c>
      <c r="G92" t="s">
        <v>81</v>
      </c>
      <c r="H92" t="str">
        <f>_xlfn.XLOOKUP(AmazonSales[[#This Row],[Product ID]],Product_table[Product ID],Product_table[Category])</f>
        <v>Electronics</v>
      </c>
      <c r="I92" t="str">
        <f>_xlfn.XLOOKUP(AmazonSales[[#This Row],[Product ID]],Product_table[Product ID],Product_table[Product Name])</f>
        <v>Smartphone</v>
      </c>
      <c r="J92" t="s">
        <v>45</v>
      </c>
      <c r="K92">
        <v>803</v>
      </c>
      <c r="L92">
        <v>2</v>
      </c>
      <c r="M92">
        <v>1606</v>
      </c>
      <c r="N92" t="s">
        <v>17</v>
      </c>
      <c r="O92" t="s">
        <v>25</v>
      </c>
      <c r="P92" t="s">
        <v>61</v>
      </c>
      <c r="Q92" t="str">
        <f t="shared" si="1"/>
        <v>Active</v>
      </c>
      <c r="R92">
        <f>DATEDIF(AmazonSales[[#This Row],[Order Date]],AmazonSales[[#This Row],[Delivery Date]],"d")</f>
        <v>6</v>
      </c>
      <c r="S92">
        <f>IF(AmazonSales[[#This Row],[Order Status]]="Cancelled",1,0)</f>
        <v>0</v>
      </c>
      <c r="T92">
        <f>IF(AmazonSales[[#This Row],[Delivery Status]]="Delivered",1,0)</f>
        <v>1</v>
      </c>
      <c r="U92">
        <f>IF(AmazonSales[[#This Row],[Delivery Status]]="Delivered",AmazonSales[[#This Row],[Total Amount]],0)</f>
        <v>1606</v>
      </c>
      <c r="V92" t="str" cm="1">
        <f t="array" ref="V92">_xlfn.IFS(AND(AmazonSales[[#This Row],[Delivery Time]]=""),"",AND(AmazonSales[[#This Row],[Delivery Time]]&lt;=2),"Fast",AND(AmazonSales[[#This Row],[Delivery Time]]&gt;2),"Slow")</f>
        <v>Slow</v>
      </c>
      <c r="W92">
        <f>IF(AmazonSales[[#This Row],[Delivery performance]]="Fast",1,0)</f>
        <v>0</v>
      </c>
    </row>
    <row r="93" spans="1:23" x14ac:dyDescent="0.3">
      <c r="A93">
        <v>1</v>
      </c>
      <c r="B93" t="s">
        <v>184</v>
      </c>
      <c r="C93" s="1">
        <v>44978</v>
      </c>
      <c r="D93" s="1"/>
      <c r="E93" s="1">
        <v>44982</v>
      </c>
      <c r="F93" t="s">
        <v>52</v>
      </c>
      <c r="G93" t="s">
        <v>58</v>
      </c>
      <c r="H93" t="str">
        <f>_xlfn.XLOOKUP(AmazonSales[[#This Row],[Product ID]],Product_table[Product ID],Product_table[Category])</f>
        <v>Electronics</v>
      </c>
      <c r="I93" t="str">
        <f>_xlfn.XLOOKUP(AmazonSales[[#This Row],[Product ID]],Product_table[Product ID],Product_table[Product Name])</f>
        <v>Smartwatch</v>
      </c>
      <c r="J93" t="s">
        <v>16</v>
      </c>
      <c r="K93">
        <v>248</v>
      </c>
      <c r="L93">
        <v>5</v>
      </c>
      <c r="M93">
        <v>1240</v>
      </c>
      <c r="N93" t="s">
        <v>33</v>
      </c>
      <c r="O93" t="s">
        <v>18</v>
      </c>
      <c r="P93" t="s">
        <v>34</v>
      </c>
      <c r="Q93" t="str">
        <f t="shared" si="1"/>
        <v>Cancelled</v>
      </c>
      <c r="S93">
        <f>IF(AmazonSales[[#This Row],[Order Status]]="Cancelled",1,0)</f>
        <v>1</v>
      </c>
      <c r="T93">
        <f>IF(AmazonSales[[#This Row],[Delivery Status]]="Delivered",1,0)</f>
        <v>0</v>
      </c>
      <c r="U93">
        <f>IF(AmazonSales[[#This Row],[Delivery Status]]="Delivered",AmazonSales[[#This Row],[Total Amount]],0)</f>
        <v>0</v>
      </c>
      <c r="V93" t="str" cm="1">
        <f t="array" ref="V93">_xlfn.IFS(AND(AmazonSales[[#This Row],[Delivery Time]]=""),"",AND(AmazonSales[[#This Row],[Delivery Time]]&lt;=2),"Fast",AND(AmazonSales[[#This Row],[Delivery Time]]&gt;2),"Slow")</f>
        <v/>
      </c>
      <c r="W93">
        <f>IF(AmazonSales[[#This Row],[Delivery performance]]="Fast",1,0)</f>
        <v>0</v>
      </c>
    </row>
    <row r="94" spans="1:23" x14ac:dyDescent="0.3">
      <c r="A94">
        <v>1</v>
      </c>
      <c r="B94" t="s">
        <v>185</v>
      </c>
      <c r="C94" s="1">
        <v>44976</v>
      </c>
      <c r="D94" s="1">
        <v>44978</v>
      </c>
      <c r="E94" s="1"/>
      <c r="F94" t="s">
        <v>186</v>
      </c>
      <c r="G94" t="s">
        <v>111</v>
      </c>
      <c r="H94" t="str">
        <f>_xlfn.XLOOKUP(AmazonSales[[#This Row],[Product ID]],Product_table[Product ID],Product_table[Category])</f>
        <v>Home</v>
      </c>
      <c r="I94" t="str">
        <f>_xlfn.XLOOKUP(AmazonSales[[#This Row],[Product ID]],Product_table[Product ID],Product_table[Product Name])</f>
        <v>Cookware Set Pro</v>
      </c>
      <c r="J94" t="s">
        <v>23</v>
      </c>
      <c r="K94">
        <v>210</v>
      </c>
      <c r="L94">
        <v>3</v>
      </c>
      <c r="M94">
        <v>630</v>
      </c>
      <c r="N94" t="s">
        <v>17</v>
      </c>
      <c r="O94" t="s">
        <v>25</v>
      </c>
      <c r="P94" t="s">
        <v>19</v>
      </c>
      <c r="Q94" t="str">
        <f t="shared" si="1"/>
        <v>Active</v>
      </c>
      <c r="R94">
        <f>DATEDIF(AmazonSales[[#This Row],[Order Date]],AmazonSales[[#This Row],[Delivery Date]],"d")</f>
        <v>2</v>
      </c>
      <c r="S94">
        <f>IF(AmazonSales[[#This Row],[Order Status]]="Cancelled",1,0)</f>
        <v>0</v>
      </c>
      <c r="T94">
        <f>IF(AmazonSales[[#This Row],[Delivery Status]]="Delivered",1,0)</f>
        <v>1</v>
      </c>
      <c r="U94">
        <f>IF(AmazonSales[[#This Row],[Delivery Status]]="Delivered",AmazonSales[[#This Row],[Total Amount]],0)</f>
        <v>630</v>
      </c>
      <c r="V94" t="str" cm="1">
        <f t="array" ref="V94">_xlfn.IFS(AND(AmazonSales[[#This Row],[Delivery Time]]=""),"",AND(AmazonSales[[#This Row],[Delivery Time]]&lt;=2),"Fast",AND(AmazonSales[[#This Row],[Delivery Time]]&gt;2),"Slow")</f>
        <v>Fast</v>
      </c>
      <c r="W94">
        <f>IF(AmazonSales[[#This Row],[Delivery performance]]="Fast",1,0)</f>
        <v>1</v>
      </c>
    </row>
    <row r="95" spans="1:23" x14ac:dyDescent="0.3">
      <c r="A95">
        <v>1</v>
      </c>
      <c r="B95" t="s">
        <v>187</v>
      </c>
      <c r="C95" s="1">
        <v>45201</v>
      </c>
      <c r="D95" s="1"/>
      <c r="E95" s="1">
        <v>45272</v>
      </c>
      <c r="F95" t="s">
        <v>52</v>
      </c>
      <c r="G95" t="s">
        <v>119</v>
      </c>
      <c r="H95" t="str">
        <f>_xlfn.XLOOKUP(AmazonSales[[#This Row],[Product ID]],Product_table[Product ID],Product_table[Category])</f>
        <v>Toys</v>
      </c>
      <c r="I95" t="str">
        <f>_xlfn.XLOOKUP(AmazonSales[[#This Row],[Product ID]],Product_table[Product ID],Product_table[Product Name])</f>
        <v>Leg Set</v>
      </c>
      <c r="J95" t="s">
        <v>16</v>
      </c>
      <c r="K95">
        <v>62</v>
      </c>
      <c r="L95">
        <v>2</v>
      </c>
      <c r="M95">
        <v>124</v>
      </c>
      <c r="N95" t="s">
        <v>24</v>
      </c>
      <c r="O95" t="s">
        <v>18</v>
      </c>
      <c r="P95" t="s">
        <v>61</v>
      </c>
      <c r="Q95" t="str">
        <f t="shared" si="1"/>
        <v>Cancelled</v>
      </c>
      <c r="S95">
        <f>IF(AmazonSales[[#This Row],[Order Status]]="Cancelled",1,0)</f>
        <v>1</v>
      </c>
      <c r="T95">
        <f>IF(AmazonSales[[#This Row],[Delivery Status]]="Delivered",1,0)</f>
        <v>0</v>
      </c>
      <c r="U95">
        <f>IF(AmazonSales[[#This Row],[Delivery Status]]="Delivered",AmazonSales[[#This Row],[Total Amount]],0)</f>
        <v>0</v>
      </c>
      <c r="V95" t="str" cm="1">
        <f t="array" ref="V95">_xlfn.IFS(AND(AmazonSales[[#This Row],[Delivery Time]]=""),"",AND(AmazonSales[[#This Row],[Delivery Time]]&lt;=2),"Fast",AND(AmazonSales[[#This Row],[Delivery Time]]&gt;2),"Slow")</f>
        <v/>
      </c>
      <c r="W95">
        <f>IF(AmazonSales[[#This Row],[Delivery performance]]="Fast",1,0)</f>
        <v>0</v>
      </c>
    </row>
    <row r="96" spans="1:23" x14ac:dyDescent="0.3">
      <c r="A96">
        <v>1</v>
      </c>
      <c r="B96" t="s">
        <v>188</v>
      </c>
      <c r="C96" s="1">
        <v>45084</v>
      </c>
      <c r="D96" s="1"/>
      <c r="E96" s="1">
        <v>45089</v>
      </c>
      <c r="F96" t="s">
        <v>178</v>
      </c>
      <c r="G96" t="s">
        <v>104</v>
      </c>
      <c r="H96" t="str">
        <f>_xlfn.XLOOKUP(AmazonSales[[#This Row],[Product ID]],Product_table[Product ID],Product_table[Category])</f>
        <v>Books</v>
      </c>
      <c r="I96" t="str">
        <f>_xlfn.XLOOKUP(AmazonSales[[#This Row],[Product ID]],Product_table[Product ID],Product_table[Product Name])</f>
        <v>Magazine</v>
      </c>
      <c r="J96" t="s">
        <v>28</v>
      </c>
      <c r="K96">
        <v>11</v>
      </c>
      <c r="L96">
        <v>5</v>
      </c>
      <c r="M96">
        <v>55</v>
      </c>
      <c r="N96" t="s">
        <v>46</v>
      </c>
      <c r="O96" t="s">
        <v>18</v>
      </c>
      <c r="P96" t="s">
        <v>38</v>
      </c>
      <c r="Q96" t="str">
        <f t="shared" si="1"/>
        <v>Cancelled</v>
      </c>
      <c r="S96">
        <f>IF(AmazonSales[[#This Row],[Order Status]]="Cancelled",1,0)</f>
        <v>1</v>
      </c>
      <c r="T96">
        <f>IF(AmazonSales[[#This Row],[Delivery Status]]="Delivered",1,0)</f>
        <v>0</v>
      </c>
      <c r="U96">
        <f>IF(AmazonSales[[#This Row],[Delivery Status]]="Delivered",AmazonSales[[#This Row],[Total Amount]],0)</f>
        <v>0</v>
      </c>
      <c r="V96" t="str" cm="1">
        <f t="array" ref="V96">_xlfn.IFS(AND(AmazonSales[[#This Row],[Delivery Time]]=""),"",AND(AmazonSales[[#This Row],[Delivery Time]]&lt;=2),"Fast",AND(AmazonSales[[#This Row],[Delivery Time]]&gt;2),"Slow")</f>
        <v/>
      </c>
      <c r="W96">
        <f>IF(AmazonSales[[#This Row],[Delivery performance]]="Fast",1,0)</f>
        <v>0</v>
      </c>
    </row>
    <row r="97" spans="1:23" x14ac:dyDescent="0.3">
      <c r="A97">
        <v>1</v>
      </c>
      <c r="B97" t="s">
        <v>189</v>
      </c>
      <c r="C97" s="1">
        <v>45116</v>
      </c>
      <c r="D97" s="1">
        <v>45119</v>
      </c>
      <c r="E97" s="1"/>
      <c r="F97" t="s">
        <v>139</v>
      </c>
      <c r="G97" t="s">
        <v>73</v>
      </c>
      <c r="H97" t="str">
        <f>_xlfn.XLOOKUP(AmazonSales[[#This Row],[Product ID]],Product_table[Product ID],Product_table[Category])</f>
        <v>Books</v>
      </c>
      <c r="I97" t="str">
        <f>_xlfn.XLOOKUP(AmazonSales[[#This Row],[Product ID]],Product_table[Product ID],Product_table[Product Name])</f>
        <v>Novel</v>
      </c>
      <c r="J97" t="s">
        <v>16</v>
      </c>
      <c r="K97">
        <v>21</v>
      </c>
      <c r="L97">
        <v>2</v>
      </c>
      <c r="M97">
        <v>42</v>
      </c>
      <c r="N97" t="s">
        <v>41</v>
      </c>
      <c r="O97" t="s">
        <v>25</v>
      </c>
      <c r="P97" t="s">
        <v>34</v>
      </c>
      <c r="Q97" t="str">
        <f t="shared" si="1"/>
        <v>Active</v>
      </c>
      <c r="R97">
        <f>DATEDIF(AmazonSales[[#This Row],[Order Date]],AmazonSales[[#This Row],[Delivery Date]],"d")</f>
        <v>3</v>
      </c>
      <c r="S97">
        <f>IF(AmazonSales[[#This Row],[Order Status]]="Cancelled",1,0)</f>
        <v>0</v>
      </c>
      <c r="T97">
        <f>IF(AmazonSales[[#This Row],[Delivery Status]]="Delivered",1,0)</f>
        <v>1</v>
      </c>
      <c r="U97">
        <f>IF(AmazonSales[[#This Row],[Delivery Status]]="Delivered",AmazonSales[[#This Row],[Total Amount]],0)</f>
        <v>42</v>
      </c>
      <c r="V97" t="str" cm="1">
        <f t="array" ref="V97">_xlfn.IFS(AND(AmazonSales[[#This Row],[Delivery Time]]=""),"",AND(AmazonSales[[#This Row],[Delivery Time]]&lt;=2),"Fast",AND(AmazonSales[[#This Row],[Delivery Time]]&gt;2),"Slow")</f>
        <v>Slow</v>
      </c>
      <c r="W97">
        <f>IF(AmazonSales[[#This Row],[Delivery performance]]="Fast",1,0)</f>
        <v>0</v>
      </c>
    </row>
    <row r="98" spans="1:23" x14ac:dyDescent="0.3">
      <c r="A98">
        <v>1</v>
      </c>
      <c r="B98" t="s">
        <v>190</v>
      </c>
      <c r="C98" s="1">
        <v>45283</v>
      </c>
      <c r="D98" s="1">
        <v>45286</v>
      </c>
      <c r="E98" s="1"/>
      <c r="F98" t="s">
        <v>63</v>
      </c>
      <c r="G98" t="s">
        <v>22</v>
      </c>
      <c r="H98" t="str">
        <f>_xlfn.XLOOKUP(AmazonSales[[#This Row],[Product ID]],Product_table[Product ID],Product_table[Category])</f>
        <v>Toys</v>
      </c>
      <c r="I98" t="str">
        <f>_xlfn.XLOOKUP(AmazonSales[[#This Row],[Product ID]],Product_table[Product ID],Product_table[Product Name])</f>
        <v>Doll House</v>
      </c>
      <c r="J98" t="s">
        <v>50</v>
      </c>
      <c r="K98">
        <v>95</v>
      </c>
      <c r="L98">
        <v>5</v>
      </c>
      <c r="M98">
        <v>475</v>
      </c>
      <c r="N98" t="s">
        <v>41</v>
      </c>
      <c r="O98" t="s">
        <v>25</v>
      </c>
      <c r="P98" t="s">
        <v>38</v>
      </c>
      <c r="Q98" t="str">
        <f t="shared" si="1"/>
        <v>Active</v>
      </c>
      <c r="R98">
        <f>DATEDIF(AmazonSales[[#This Row],[Order Date]],AmazonSales[[#This Row],[Delivery Date]],"d")</f>
        <v>3</v>
      </c>
      <c r="S98">
        <f>IF(AmazonSales[[#This Row],[Order Status]]="Cancelled",1,0)</f>
        <v>0</v>
      </c>
      <c r="T98">
        <f>IF(AmazonSales[[#This Row],[Delivery Status]]="Delivered",1,0)</f>
        <v>1</v>
      </c>
      <c r="U98">
        <f>IF(AmazonSales[[#This Row],[Delivery Status]]="Delivered",AmazonSales[[#This Row],[Total Amount]],0)</f>
        <v>475</v>
      </c>
      <c r="V98" t="str" cm="1">
        <f t="array" ref="V98">_xlfn.IFS(AND(AmazonSales[[#This Row],[Delivery Time]]=""),"",AND(AmazonSales[[#This Row],[Delivery Time]]&lt;=2),"Fast",AND(AmazonSales[[#This Row],[Delivery Time]]&gt;2),"Slow")</f>
        <v>Slow</v>
      </c>
      <c r="W98">
        <f>IF(AmazonSales[[#This Row],[Delivery performance]]="Fast",1,0)</f>
        <v>0</v>
      </c>
    </row>
    <row r="99" spans="1:23" x14ac:dyDescent="0.3">
      <c r="A99">
        <v>1</v>
      </c>
      <c r="B99" t="s">
        <v>191</v>
      </c>
      <c r="C99" s="1">
        <v>45194</v>
      </c>
      <c r="D99" s="1">
        <v>45199</v>
      </c>
      <c r="E99" s="1"/>
      <c r="F99" t="s">
        <v>32</v>
      </c>
      <c r="G99" t="s">
        <v>111</v>
      </c>
      <c r="H99" t="str">
        <f>_xlfn.XLOOKUP(AmazonSales[[#This Row],[Product ID]],Product_table[Product ID],Product_table[Category])</f>
        <v>Home</v>
      </c>
      <c r="I99" t="str">
        <f>_xlfn.XLOOKUP(AmazonSales[[#This Row],[Product ID]],Product_table[Product ID],Product_table[Product Name])</f>
        <v>Cookware Set Pro</v>
      </c>
      <c r="J99" t="s">
        <v>28</v>
      </c>
      <c r="K99">
        <v>215</v>
      </c>
      <c r="L99">
        <v>2</v>
      </c>
      <c r="M99">
        <v>430</v>
      </c>
      <c r="N99" t="s">
        <v>33</v>
      </c>
      <c r="O99" t="s">
        <v>25</v>
      </c>
      <c r="P99" t="s">
        <v>38</v>
      </c>
      <c r="Q99" t="str">
        <f t="shared" si="1"/>
        <v>Active</v>
      </c>
      <c r="R99">
        <f>DATEDIF(AmazonSales[[#This Row],[Order Date]],AmazonSales[[#This Row],[Delivery Date]],"d")</f>
        <v>5</v>
      </c>
      <c r="S99">
        <f>IF(AmazonSales[[#This Row],[Order Status]]="Cancelled",1,0)</f>
        <v>0</v>
      </c>
      <c r="T99">
        <f>IF(AmazonSales[[#This Row],[Delivery Status]]="Delivered",1,0)</f>
        <v>1</v>
      </c>
      <c r="U99">
        <f>IF(AmazonSales[[#This Row],[Delivery Status]]="Delivered",AmazonSales[[#This Row],[Total Amount]],0)</f>
        <v>430</v>
      </c>
      <c r="V99" t="str" cm="1">
        <f t="array" ref="V99">_xlfn.IFS(AND(AmazonSales[[#This Row],[Delivery Time]]=""),"",AND(AmazonSales[[#This Row],[Delivery Time]]&lt;=2),"Fast",AND(AmazonSales[[#This Row],[Delivery Time]]&gt;2),"Slow")</f>
        <v>Slow</v>
      </c>
      <c r="W99">
        <f>IF(AmazonSales[[#This Row],[Delivery performance]]="Fast",1,0)</f>
        <v>0</v>
      </c>
    </row>
    <row r="100" spans="1:23" x14ac:dyDescent="0.3">
      <c r="A100">
        <v>1</v>
      </c>
      <c r="B100" t="s">
        <v>192</v>
      </c>
      <c r="C100" s="1">
        <v>44944</v>
      </c>
      <c r="D100" s="1"/>
      <c r="E100" s="1">
        <v>44950</v>
      </c>
      <c r="F100" t="s">
        <v>193</v>
      </c>
      <c r="G100" t="s">
        <v>53</v>
      </c>
      <c r="H100" t="str">
        <f>_xlfn.XLOOKUP(AmazonSales[[#This Row],[Product ID]],Product_table[Product ID],Product_table[Category])</f>
        <v>Fashion</v>
      </c>
      <c r="I100" t="str">
        <f>_xlfn.XLOOKUP(AmazonSales[[#This Row],[Product ID]],Product_table[Product ID],Product_table[Product Name])</f>
        <v>Formal Shirt</v>
      </c>
      <c r="J100" t="s">
        <v>50</v>
      </c>
      <c r="K100">
        <v>43</v>
      </c>
      <c r="L100">
        <v>5</v>
      </c>
      <c r="M100">
        <v>215</v>
      </c>
      <c r="N100" t="s">
        <v>24</v>
      </c>
      <c r="O100" t="s">
        <v>18</v>
      </c>
      <c r="P100" t="s">
        <v>34</v>
      </c>
      <c r="Q100" t="str">
        <f t="shared" si="1"/>
        <v>Cancelled</v>
      </c>
      <c r="S100">
        <f>IF(AmazonSales[[#This Row],[Order Status]]="Cancelled",1,0)</f>
        <v>1</v>
      </c>
      <c r="T100">
        <f>IF(AmazonSales[[#This Row],[Delivery Status]]="Delivered",1,0)</f>
        <v>0</v>
      </c>
      <c r="U100">
        <f>IF(AmazonSales[[#This Row],[Delivery Status]]="Delivered",AmazonSales[[#This Row],[Total Amount]],0)</f>
        <v>0</v>
      </c>
      <c r="V100" t="str" cm="1">
        <f t="array" ref="V100">_xlfn.IFS(AND(AmazonSales[[#This Row],[Delivery Time]]=""),"",AND(AmazonSales[[#This Row],[Delivery Time]]&lt;=2),"Fast",AND(AmazonSales[[#This Row],[Delivery Time]]&gt;2),"Slow")</f>
        <v/>
      </c>
      <c r="W100">
        <f>IF(AmazonSales[[#This Row],[Delivery performance]]="Fast",1,0)</f>
        <v>0</v>
      </c>
    </row>
    <row r="101" spans="1:23" x14ac:dyDescent="0.3">
      <c r="A101">
        <v>1</v>
      </c>
      <c r="B101" t="s">
        <v>194</v>
      </c>
      <c r="C101" s="1">
        <v>45012</v>
      </c>
      <c r="D101" s="1"/>
      <c r="E101" s="1"/>
      <c r="F101" t="s">
        <v>40</v>
      </c>
      <c r="G101" t="s">
        <v>90</v>
      </c>
      <c r="H101" t="str">
        <f>_xlfn.XLOOKUP(AmazonSales[[#This Row],[Product ID]],Product_table[Product ID],Product_table[Category])</f>
        <v>Toys</v>
      </c>
      <c r="I101" t="str">
        <f>_xlfn.XLOOKUP(AmazonSales[[#This Row],[Product ID]],Product_table[Product ID],Product_table[Product Name])</f>
        <v>Action Figure</v>
      </c>
      <c r="J101" t="s">
        <v>50</v>
      </c>
      <c r="K101">
        <v>42</v>
      </c>
      <c r="L101">
        <v>4</v>
      </c>
      <c r="M101">
        <v>168</v>
      </c>
      <c r="N101" t="s">
        <v>46</v>
      </c>
      <c r="O101" t="s">
        <v>29</v>
      </c>
      <c r="P101" t="s">
        <v>19</v>
      </c>
      <c r="Q101" t="str">
        <f t="shared" si="1"/>
        <v>Active</v>
      </c>
      <c r="S101">
        <f>IF(AmazonSales[[#This Row],[Order Status]]="Cancelled",1,0)</f>
        <v>0</v>
      </c>
      <c r="T101">
        <f>IF(AmazonSales[[#This Row],[Delivery Status]]="Delivered",1,0)</f>
        <v>0</v>
      </c>
      <c r="U101">
        <f>IF(AmazonSales[[#This Row],[Delivery Status]]="Delivered",AmazonSales[[#This Row],[Total Amount]],0)</f>
        <v>0</v>
      </c>
      <c r="V101" t="str" cm="1">
        <f t="array" ref="V101">_xlfn.IFS(AND(AmazonSales[[#This Row],[Delivery Time]]=""),"",AND(AmazonSales[[#This Row],[Delivery Time]]&lt;=2),"Fast",AND(AmazonSales[[#This Row],[Delivery Time]]&gt;2),"Slow")</f>
        <v/>
      </c>
      <c r="W101">
        <f>IF(AmazonSales[[#This Row],[Delivery performance]]="Fast",1,0)</f>
        <v>0</v>
      </c>
    </row>
    <row r="102" spans="1:23" x14ac:dyDescent="0.3">
      <c r="A102" s="33" t="s">
        <v>456</v>
      </c>
      <c r="B102" s="33"/>
      <c r="C102" s="33"/>
      <c r="D102" s="33"/>
      <c r="E102" s="33"/>
      <c r="F102" s="33"/>
      <c r="G102" s="33"/>
      <c r="H102" s="33"/>
      <c r="I102" s="33"/>
      <c r="J102" s="33"/>
      <c r="K102" s="33"/>
      <c r="L102" s="33"/>
      <c r="M102" s="33"/>
      <c r="N102" s="33"/>
      <c r="O102" s="33"/>
      <c r="P102" s="33"/>
      <c r="Q102" s="33"/>
      <c r="R102" s="33"/>
      <c r="S102" s="33"/>
      <c r="T102" s="33"/>
      <c r="U102" s="33"/>
      <c r="V102" s="33">
        <f>SUBTOTAL(103,AmazonSales[Delivery performance])</f>
        <v>100</v>
      </c>
      <c r="W102" s="33">
        <f>SUBTOTAL(109,AmazonSales[Fast delivery])</f>
        <v>11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D5B9B-48D8-4A5B-A4EF-AEC4466197AC}">
  <dimension ref="A1:E17"/>
  <sheetViews>
    <sheetView workbookViewId="0">
      <selection activeCell="H10" sqref="H10"/>
    </sheetView>
  </sheetViews>
  <sheetFormatPr defaultRowHeight="14.4" x14ac:dyDescent="0.3"/>
  <cols>
    <col min="1" max="1" width="12.44140625" bestFit="1" customWidth="1"/>
    <col min="2" max="2" width="14.88671875" bestFit="1" customWidth="1"/>
    <col min="3" max="5" width="9.77734375" customWidth="1"/>
    <col min="6" max="6" width="6" bestFit="1" customWidth="1"/>
    <col min="7" max="7" width="5" bestFit="1" customWidth="1"/>
    <col min="8" max="8" width="13.88671875" bestFit="1" customWidth="1"/>
    <col min="9" max="9" width="10.33203125" bestFit="1" customWidth="1"/>
    <col min="10" max="10" width="7.44140625" bestFit="1" customWidth="1"/>
    <col min="11" max="11" width="6" bestFit="1" customWidth="1"/>
    <col min="12" max="12" width="4.6640625" bestFit="1" customWidth="1"/>
    <col min="13" max="13" width="16.6640625" bestFit="1" customWidth="1"/>
    <col min="14" max="14" width="10.33203125" bestFit="1" customWidth="1"/>
    <col min="15" max="15" width="7.44140625" bestFit="1" customWidth="1"/>
    <col min="16" max="16" width="6" bestFit="1" customWidth="1"/>
    <col min="17" max="17" width="4.6640625" bestFit="1" customWidth="1"/>
    <col min="18" max="18" width="21.109375" bestFit="1" customWidth="1"/>
    <col min="19" max="19" width="18.44140625" bestFit="1" customWidth="1"/>
    <col min="20" max="20" width="25.88671875" bestFit="1" customWidth="1"/>
  </cols>
  <sheetData>
    <row r="1" spans="1:5" ht="16.8" x14ac:dyDescent="0.3">
      <c r="A1" s="66" t="s">
        <v>474</v>
      </c>
      <c r="B1" s="66"/>
      <c r="C1" s="66"/>
    </row>
    <row r="2" spans="1:5" x14ac:dyDescent="0.3">
      <c r="A2" s="55" t="s">
        <v>475</v>
      </c>
    </row>
    <row r="3" spans="1:5" x14ac:dyDescent="0.3">
      <c r="A3" s="55" t="s">
        <v>476</v>
      </c>
    </row>
    <row r="4" spans="1:5" x14ac:dyDescent="0.3">
      <c r="A4" s="55" t="s">
        <v>477</v>
      </c>
    </row>
    <row r="5" spans="1:5" x14ac:dyDescent="0.3">
      <c r="A5" s="55" t="s">
        <v>478</v>
      </c>
    </row>
    <row r="6" spans="1:5" ht="16.8" x14ac:dyDescent="0.3">
      <c r="A6" s="65"/>
    </row>
    <row r="7" spans="1:5" x14ac:dyDescent="0.3">
      <c r="B7" s="2" t="s">
        <v>10</v>
      </c>
      <c r="C7" t="s">
        <v>460</v>
      </c>
    </row>
    <row r="8" spans="1:5" x14ac:dyDescent="0.3">
      <c r="B8" s="2" t="s">
        <v>11</v>
      </c>
      <c r="C8" t="s">
        <v>460</v>
      </c>
    </row>
    <row r="9" spans="1:5" x14ac:dyDescent="0.3">
      <c r="B9" s="2" t="s">
        <v>377</v>
      </c>
      <c r="C9" s="33" t="s">
        <v>460</v>
      </c>
    </row>
    <row r="11" spans="1:5" ht="57.6" x14ac:dyDescent="0.3">
      <c r="C11" s="53" t="s">
        <v>380</v>
      </c>
      <c r="D11" s="53" t="s">
        <v>378</v>
      </c>
      <c r="E11" s="53" t="s">
        <v>382</v>
      </c>
    </row>
    <row r="12" spans="1:5" x14ac:dyDescent="0.3">
      <c r="B12" s="33" t="s">
        <v>45</v>
      </c>
      <c r="C12" s="33">
        <v>5456</v>
      </c>
      <c r="D12" s="33">
        <v>14</v>
      </c>
      <c r="E12" s="34">
        <v>4.2</v>
      </c>
    </row>
    <row r="13" spans="1:5" x14ac:dyDescent="0.3">
      <c r="B13" s="33" t="s">
        <v>23</v>
      </c>
      <c r="C13" s="33">
        <v>3635</v>
      </c>
      <c r="D13" s="33">
        <v>18</v>
      </c>
      <c r="E13" s="34">
        <v>8.125</v>
      </c>
    </row>
    <row r="14" spans="1:5" x14ac:dyDescent="0.3">
      <c r="B14" s="33" t="s">
        <v>16</v>
      </c>
      <c r="C14" s="33">
        <v>10491</v>
      </c>
      <c r="D14" s="33">
        <v>25</v>
      </c>
      <c r="E14" s="34">
        <v>3.625</v>
      </c>
    </row>
    <row r="15" spans="1:5" x14ac:dyDescent="0.3">
      <c r="B15" s="33" t="s">
        <v>28</v>
      </c>
      <c r="C15" s="33">
        <v>7317</v>
      </c>
      <c r="D15" s="33">
        <v>20</v>
      </c>
      <c r="E15" s="34">
        <v>6.833333333333333</v>
      </c>
    </row>
    <row r="16" spans="1:5" x14ac:dyDescent="0.3">
      <c r="B16" s="33" t="s">
        <v>50</v>
      </c>
      <c r="C16" s="33">
        <v>8359</v>
      </c>
      <c r="D16" s="33">
        <v>23</v>
      </c>
      <c r="E16" s="34">
        <v>6.8571428571428568</v>
      </c>
    </row>
    <row r="17" spans="2:5" x14ac:dyDescent="0.3">
      <c r="B17" s="33" t="s">
        <v>195</v>
      </c>
      <c r="C17" s="33">
        <v>35258</v>
      </c>
      <c r="D17" s="33">
        <v>100</v>
      </c>
      <c r="E17" s="34">
        <v>6</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BDE39-D3F8-45A2-9FE4-36791D9D86D3}">
  <dimension ref="A1:O102"/>
  <sheetViews>
    <sheetView zoomScale="73" zoomScaleNormal="40" workbookViewId="0">
      <selection activeCell="M11" sqref="M11"/>
    </sheetView>
  </sheetViews>
  <sheetFormatPr defaultRowHeight="14.4" x14ac:dyDescent="0.3"/>
  <cols>
    <col min="1" max="1" width="10.6640625" bestFit="1" customWidth="1"/>
    <col min="2" max="2" width="12.88671875" bestFit="1" customWidth="1"/>
    <col min="3" max="3" width="15" bestFit="1" customWidth="1"/>
    <col min="4" max="4" width="14" bestFit="1" customWidth="1"/>
    <col min="5" max="5" width="14.21875" bestFit="1" customWidth="1"/>
    <col min="6" max="6" width="17.33203125" bestFit="1" customWidth="1"/>
    <col min="7" max="7" width="12.5546875" bestFit="1" customWidth="1"/>
    <col min="8" max="8" width="9.6640625" bestFit="1" customWidth="1"/>
    <col min="9" max="9" width="16.21875" bestFit="1" customWidth="1"/>
    <col min="10" max="10" width="11.109375" bestFit="1" customWidth="1"/>
    <col min="11" max="11" width="14.88671875" bestFit="1" customWidth="1"/>
    <col min="12" max="12" width="18.109375" bestFit="1" customWidth="1"/>
    <col min="13" max="13" width="16.44140625" bestFit="1" customWidth="1"/>
    <col min="14" max="14" width="19.5546875" bestFit="1" customWidth="1"/>
    <col min="15" max="15" width="16.21875" customWidth="1"/>
  </cols>
  <sheetData>
    <row r="1" spans="1:15" x14ac:dyDescent="0.3">
      <c r="A1" t="s">
        <v>0</v>
      </c>
      <c r="B1" t="s">
        <v>1</v>
      </c>
      <c r="C1" t="s">
        <v>2</v>
      </c>
      <c r="D1" t="s">
        <v>3</v>
      </c>
      <c r="E1" t="s">
        <v>4</v>
      </c>
      <c r="F1" t="s">
        <v>383</v>
      </c>
      <c r="G1" t="s">
        <v>5</v>
      </c>
      <c r="H1" t="s">
        <v>6</v>
      </c>
      <c r="I1" t="s">
        <v>7</v>
      </c>
      <c r="J1" t="s">
        <v>8</v>
      </c>
      <c r="K1" t="s">
        <v>9</v>
      </c>
      <c r="L1" t="s">
        <v>10</v>
      </c>
      <c r="M1" t="s">
        <v>11</v>
      </c>
      <c r="N1" t="s">
        <v>12</v>
      </c>
      <c r="O1" t="s">
        <v>445</v>
      </c>
    </row>
    <row r="2" spans="1:15" x14ac:dyDescent="0.3">
      <c r="A2" t="s">
        <v>13</v>
      </c>
      <c r="B2" s="1">
        <v>45291</v>
      </c>
      <c r="C2" s="1"/>
      <c r="D2" s="1">
        <v>45323</v>
      </c>
      <c r="E2" t="s">
        <v>14</v>
      </c>
      <c r="F2" t="str">
        <f>_xlfn.XLOOKUP(AmazonSales5[[#This Row],[Customer ID]],customerdata[Customer ID],customerdata[Customer Name],"Not Found")</f>
        <v>Zoe Mitchell</v>
      </c>
      <c r="G2" t="s">
        <v>15</v>
      </c>
      <c r="H2" t="s">
        <v>16</v>
      </c>
      <c r="I2">
        <v>44</v>
      </c>
      <c r="J2">
        <v>1</v>
      </c>
      <c r="K2">
        <v>44</v>
      </c>
      <c r="L2" t="s">
        <v>17</v>
      </c>
      <c r="M2" t="s">
        <v>18</v>
      </c>
      <c r="N2" t="s">
        <v>19</v>
      </c>
      <c r="O2" t="str">
        <f>IFERROR(IF(AmazonSales5[[#This Row],[Delivery Date]]="", "", IF(AmazonSales5[[#This Row],[Delivery Date]]-AmazonSales5[[#This Row],[Order Date]]&lt;=2,"Fast","Slow")),"")</f>
        <v/>
      </c>
    </row>
    <row r="3" spans="1:15" x14ac:dyDescent="0.3">
      <c r="A3" t="s">
        <v>20</v>
      </c>
      <c r="B3" s="1">
        <v>44979</v>
      </c>
      <c r="C3" s="1">
        <v>44981</v>
      </c>
      <c r="D3" s="1"/>
      <c r="E3" t="s">
        <v>21</v>
      </c>
      <c r="F3" t="str">
        <f>_xlfn.XLOOKUP(AmazonSales5[[#This Row],[Customer ID]],customerdata[Customer ID],customerdata[Customer Name],"Not Found")</f>
        <v>Ava White</v>
      </c>
      <c r="G3" t="s">
        <v>22</v>
      </c>
      <c r="H3" t="s">
        <v>23</v>
      </c>
      <c r="I3">
        <v>96</v>
      </c>
      <c r="J3">
        <v>4</v>
      </c>
      <c r="K3">
        <v>384</v>
      </c>
      <c r="L3" t="s">
        <v>24</v>
      </c>
      <c r="M3" t="s">
        <v>25</v>
      </c>
      <c r="N3" t="s">
        <v>19</v>
      </c>
      <c r="O3" t="str">
        <f>IFERROR(IF(AmazonSales5[[#This Row],[Delivery Date]]="", "", IF(AmazonSales5[[#This Row],[Delivery Date]]-AmazonSales5[[#This Row],[Order Date]]&lt;=2,"Fast","Slow")),"")</f>
        <v>Fast</v>
      </c>
    </row>
    <row r="4" spans="1:15" x14ac:dyDescent="0.3">
      <c r="A4" t="s">
        <v>26</v>
      </c>
      <c r="B4" s="1">
        <v>45240</v>
      </c>
      <c r="C4" s="1"/>
      <c r="D4" s="1"/>
      <c r="E4" t="s">
        <v>14</v>
      </c>
      <c r="F4" t="str">
        <f>_xlfn.XLOOKUP(AmazonSales5[[#This Row],[Customer ID]],customerdata[Customer ID],customerdata[Customer Name],"Not Found")</f>
        <v>Zoe Mitchell</v>
      </c>
      <c r="G4" t="s">
        <v>27</v>
      </c>
      <c r="H4" t="s">
        <v>28</v>
      </c>
      <c r="I4">
        <v>194</v>
      </c>
      <c r="J4">
        <v>4</v>
      </c>
      <c r="K4">
        <v>776</v>
      </c>
      <c r="L4" t="s">
        <v>24</v>
      </c>
      <c r="M4" t="s">
        <v>29</v>
      </c>
      <c r="N4" t="s">
        <v>30</v>
      </c>
      <c r="O4" t="str">
        <f>IFERROR(IF(AmazonSales5[[#This Row],[Delivery Date]]="", "", IF(AmazonSales5[[#This Row],[Delivery Date]]-AmazonSales5[[#This Row],[Order Date]]&lt;=2,"Fast","Slow")),"")</f>
        <v/>
      </c>
    </row>
    <row r="5" spans="1:15" x14ac:dyDescent="0.3">
      <c r="A5" t="s">
        <v>31</v>
      </c>
      <c r="B5" s="1">
        <v>45051</v>
      </c>
      <c r="C5" s="1"/>
      <c r="D5" s="1">
        <v>45235</v>
      </c>
      <c r="E5" t="s">
        <v>32</v>
      </c>
      <c r="F5" t="str">
        <f>_xlfn.XLOOKUP(AmazonSales5[[#This Row],[Customer ID]],customerdata[Customer ID],customerdata[Customer Name],"Not Found")</f>
        <v>Grace Ward</v>
      </c>
      <c r="G5" t="s">
        <v>27</v>
      </c>
      <c r="H5" t="s">
        <v>16</v>
      </c>
      <c r="I5">
        <v>196</v>
      </c>
      <c r="J5">
        <v>3</v>
      </c>
      <c r="K5">
        <v>588</v>
      </c>
      <c r="L5" t="s">
        <v>33</v>
      </c>
      <c r="M5" t="s">
        <v>18</v>
      </c>
      <c r="N5" t="s">
        <v>34</v>
      </c>
      <c r="O5" t="str">
        <f>IFERROR(IF(AmazonSales5[[#This Row],[Delivery Date]]="", "", IF(AmazonSales5[[#This Row],[Delivery Date]]-AmazonSales5[[#This Row],[Order Date]]&lt;=2,"Fast","Slow")),"")</f>
        <v/>
      </c>
    </row>
    <row r="6" spans="1:15" x14ac:dyDescent="0.3">
      <c r="A6" t="s">
        <v>35</v>
      </c>
      <c r="B6" s="1">
        <v>44959</v>
      </c>
      <c r="C6" s="1">
        <v>45048</v>
      </c>
      <c r="D6" s="1"/>
      <c r="E6" t="s">
        <v>36</v>
      </c>
      <c r="F6" t="str">
        <f>_xlfn.XLOOKUP(AmazonSales5[[#This Row],[Customer ID]],customerdata[Customer ID],customerdata[Customer Name],"Not Found")</f>
        <v>Hazel Brooks</v>
      </c>
      <c r="G6" t="s">
        <v>37</v>
      </c>
      <c r="H6" t="s">
        <v>16</v>
      </c>
      <c r="I6">
        <v>59</v>
      </c>
      <c r="J6">
        <v>1</v>
      </c>
      <c r="K6">
        <v>59</v>
      </c>
      <c r="L6" t="s">
        <v>33</v>
      </c>
      <c r="M6" t="s">
        <v>25</v>
      </c>
      <c r="N6" t="s">
        <v>38</v>
      </c>
      <c r="O6" t="str">
        <f>IFERROR(IF(AmazonSales5[[#This Row],[Delivery Date]]="", "", IF(AmazonSales5[[#This Row],[Delivery Date]]-AmazonSales5[[#This Row],[Order Date]]&lt;=2,"Fast","Slow")),"")</f>
        <v>Slow</v>
      </c>
    </row>
    <row r="7" spans="1:15" x14ac:dyDescent="0.3">
      <c r="A7" t="s">
        <v>39</v>
      </c>
      <c r="B7" s="1">
        <v>44937</v>
      </c>
      <c r="C7" s="1"/>
      <c r="D7" s="1">
        <v>44968</v>
      </c>
      <c r="E7" t="s">
        <v>40</v>
      </c>
      <c r="F7" t="str">
        <f>_xlfn.XLOOKUP(AmazonSales5[[#This Row],[Customer ID]],customerdata[Customer ID],customerdata[Customer Name],"Not Found")</f>
        <v>Jackson Allen</v>
      </c>
      <c r="G7" t="s">
        <v>37</v>
      </c>
      <c r="H7" t="s">
        <v>16</v>
      </c>
      <c r="I7">
        <v>58</v>
      </c>
      <c r="J7">
        <v>4</v>
      </c>
      <c r="K7">
        <v>232</v>
      </c>
      <c r="L7" t="s">
        <v>41</v>
      </c>
      <c r="M7" t="s">
        <v>18</v>
      </c>
      <c r="N7" t="s">
        <v>19</v>
      </c>
      <c r="O7" t="str">
        <f>IFERROR(IF(AmazonSales5[[#This Row],[Delivery Date]]="", "", IF(AmazonSales5[[#This Row],[Delivery Date]]-AmazonSales5[[#This Row],[Order Date]]&lt;=2,"Fast","Slow")),"")</f>
        <v/>
      </c>
    </row>
    <row r="8" spans="1:15" x14ac:dyDescent="0.3">
      <c r="A8" t="s">
        <v>42</v>
      </c>
      <c r="B8" s="1">
        <v>45152</v>
      </c>
      <c r="C8" s="1"/>
      <c r="D8" s="1">
        <v>45156</v>
      </c>
      <c r="E8" t="s">
        <v>43</v>
      </c>
      <c r="F8" t="str">
        <f>_xlfn.XLOOKUP(AmazonSales5[[#This Row],[Customer ID]],customerdata[Customer ID],customerdata[Customer Name],"Not Found")</f>
        <v>Noah Wilson</v>
      </c>
      <c r="G8" t="s">
        <v>44</v>
      </c>
      <c r="H8" t="s">
        <v>45</v>
      </c>
      <c r="I8">
        <v>105</v>
      </c>
      <c r="J8">
        <v>3</v>
      </c>
      <c r="K8">
        <v>315</v>
      </c>
      <c r="L8" t="s">
        <v>46</v>
      </c>
      <c r="M8" t="s">
        <v>18</v>
      </c>
      <c r="N8" t="s">
        <v>19</v>
      </c>
      <c r="O8" t="str">
        <f>IFERROR(IF(AmazonSales5[[#This Row],[Delivery Date]]="", "", IF(AmazonSales5[[#This Row],[Delivery Date]]-AmazonSales5[[#This Row],[Order Date]]&lt;=2,"Fast","Slow")),"")</f>
        <v/>
      </c>
    </row>
    <row r="9" spans="1:15" x14ac:dyDescent="0.3">
      <c r="A9" t="s">
        <v>47</v>
      </c>
      <c r="B9" s="1">
        <v>44930</v>
      </c>
      <c r="C9" s="1"/>
      <c r="D9" s="1">
        <v>45081</v>
      </c>
      <c r="E9" t="s">
        <v>48</v>
      </c>
      <c r="F9" t="str">
        <f>_xlfn.XLOOKUP(AmazonSales5[[#This Row],[Customer ID]],customerdata[Customer ID],customerdata[Customer Name],"Not Found")</f>
        <v>Ava Robinson</v>
      </c>
      <c r="G9" t="s">
        <v>49</v>
      </c>
      <c r="H9" t="s">
        <v>50</v>
      </c>
      <c r="I9">
        <v>37</v>
      </c>
      <c r="J9">
        <v>5</v>
      </c>
      <c r="K9">
        <v>185</v>
      </c>
      <c r="L9" t="s">
        <v>33</v>
      </c>
      <c r="M9" t="s">
        <v>18</v>
      </c>
      <c r="N9" t="s">
        <v>19</v>
      </c>
      <c r="O9" t="str">
        <f>IFERROR(IF(AmazonSales5[[#This Row],[Delivery Date]]="", "", IF(AmazonSales5[[#This Row],[Delivery Date]]-AmazonSales5[[#This Row],[Order Date]]&lt;=2,"Fast","Slow")),"")</f>
        <v/>
      </c>
    </row>
    <row r="10" spans="1:15" x14ac:dyDescent="0.3">
      <c r="A10" t="s">
        <v>51</v>
      </c>
      <c r="B10" s="1">
        <v>45128</v>
      </c>
      <c r="C10" s="1"/>
      <c r="D10" s="1"/>
      <c r="E10" t="s">
        <v>52</v>
      </c>
      <c r="F10" t="str">
        <f>_xlfn.XLOOKUP(AmazonSales5[[#This Row],[Customer ID]],customerdata[Customer ID],customerdata[Customer Name],"Not Found")</f>
        <v>Olivia Martinez</v>
      </c>
      <c r="G10" t="s">
        <v>53</v>
      </c>
      <c r="H10" t="s">
        <v>45</v>
      </c>
      <c r="I10">
        <v>44</v>
      </c>
      <c r="J10">
        <v>2</v>
      </c>
      <c r="K10">
        <v>88</v>
      </c>
      <c r="L10" t="s">
        <v>24</v>
      </c>
      <c r="M10" t="s">
        <v>29</v>
      </c>
      <c r="N10" t="s">
        <v>38</v>
      </c>
      <c r="O10" t="str">
        <f>IFERROR(IF(AmazonSales5[[#This Row],[Delivery Date]]="", "", IF(AmazonSales5[[#This Row],[Delivery Date]]-AmazonSales5[[#This Row],[Order Date]]&lt;=2,"Fast","Slow")),"")</f>
        <v/>
      </c>
    </row>
    <row r="11" spans="1:15" x14ac:dyDescent="0.3">
      <c r="A11" t="s">
        <v>54</v>
      </c>
      <c r="B11" s="1">
        <v>45289</v>
      </c>
      <c r="C11" s="1"/>
      <c r="D11" s="1"/>
      <c r="E11" t="s">
        <v>48</v>
      </c>
      <c r="F11" t="str">
        <f>_xlfn.XLOOKUP(AmazonSales5[[#This Row],[Customer ID]],customerdata[Customer ID],customerdata[Customer Name],"Not Found")</f>
        <v>Ava Robinson</v>
      </c>
      <c r="G11" t="s">
        <v>55</v>
      </c>
      <c r="H11" t="s">
        <v>28</v>
      </c>
      <c r="I11">
        <v>141</v>
      </c>
      <c r="J11">
        <v>4</v>
      </c>
      <c r="K11">
        <v>564</v>
      </c>
      <c r="L11" t="s">
        <v>46</v>
      </c>
      <c r="M11" t="s">
        <v>29</v>
      </c>
      <c r="N11" t="s">
        <v>19</v>
      </c>
      <c r="O11" t="str">
        <f>IFERROR(IF(AmazonSales5[[#This Row],[Delivery Date]]="", "", IF(AmazonSales5[[#This Row],[Delivery Date]]-AmazonSales5[[#This Row],[Order Date]]&lt;=2,"Fast","Slow")),"")</f>
        <v/>
      </c>
    </row>
    <row r="12" spans="1:15" x14ac:dyDescent="0.3">
      <c r="A12" t="s">
        <v>56</v>
      </c>
      <c r="B12" s="1">
        <v>45021</v>
      </c>
      <c r="C12" s="1"/>
      <c r="D12" s="1">
        <v>45143</v>
      </c>
      <c r="E12" t="s">
        <v>57</v>
      </c>
      <c r="F12" t="str">
        <f>_xlfn.XLOOKUP(AmazonSales5[[#This Row],[Customer ID]],customerdata[Customer ID],customerdata[Customer Name],"Not Found")</f>
        <v>Emily Johnson</v>
      </c>
      <c r="G12" t="s">
        <v>58</v>
      </c>
      <c r="H12" t="s">
        <v>28</v>
      </c>
      <c r="I12">
        <v>249</v>
      </c>
      <c r="J12">
        <v>1</v>
      </c>
      <c r="K12">
        <v>249</v>
      </c>
      <c r="L12" t="s">
        <v>41</v>
      </c>
      <c r="M12" t="s">
        <v>18</v>
      </c>
      <c r="N12" t="s">
        <v>30</v>
      </c>
      <c r="O12" t="str">
        <f>IFERROR(IF(AmazonSales5[[#This Row],[Delivery Date]]="", "", IF(AmazonSales5[[#This Row],[Delivery Date]]-AmazonSales5[[#This Row],[Order Date]]&lt;=2,"Fast","Slow")),"")</f>
        <v/>
      </c>
    </row>
    <row r="13" spans="1:15" x14ac:dyDescent="0.3">
      <c r="A13" t="s">
        <v>59</v>
      </c>
      <c r="B13" s="1">
        <v>45132</v>
      </c>
      <c r="C13" s="1"/>
      <c r="D13" s="1"/>
      <c r="E13" t="s">
        <v>60</v>
      </c>
      <c r="F13" t="str">
        <f>_xlfn.XLOOKUP(AmazonSales5[[#This Row],[Customer ID]],customerdata[Customer ID],customerdata[Customer Name],"Not Found")</f>
        <v>Emily Johnson</v>
      </c>
      <c r="G13" t="s">
        <v>58</v>
      </c>
      <c r="H13" t="s">
        <v>45</v>
      </c>
      <c r="I13">
        <v>247</v>
      </c>
      <c r="J13">
        <v>3</v>
      </c>
      <c r="K13">
        <v>741</v>
      </c>
      <c r="L13" t="s">
        <v>41</v>
      </c>
      <c r="M13" t="s">
        <v>29</v>
      </c>
      <c r="N13" t="s">
        <v>61</v>
      </c>
      <c r="O13" t="str">
        <f>IFERROR(IF(AmazonSales5[[#This Row],[Delivery Date]]="", "", IF(AmazonSales5[[#This Row],[Delivery Date]]-AmazonSales5[[#This Row],[Order Date]]&lt;=2,"Fast","Slow")),"")</f>
        <v/>
      </c>
    </row>
    <row r="14" spans="1:15" x14ac:dyDescent="0.3">
      <c r="A14" t="s">
        <v>62</v>
      </c>
      <c r="B14" s="1">
        <v>44982</v>
      </c>
      <c r="C14" s="1"/>
      <c r="D14" s="1">
        <v>44985</v>
      </c>
      <c r="E14" t="s">
        <v>63</v>
      </c>
      <c r="F14" t="str">
        <f>_xlfn.XLOOKUP(AmazonSales5[[#This Row],[Customer ID]],customerdata[Customer ID],customerdata[Customer Name],"Not Found")</f>
        <v>Charlotte Reed</v>
      </c>
      <c r="G14" t="s">
        <v>64</v>
      </c>
      <c r="H14" t="s">
        <v>45</v>
      </c>
      <c r="I14">
        <v>96</v>
      </c>
      <c r="J14">
        <v>1</v>
      </c>
      <c r="K14">
        <v>96</v>
      </c>
      <c r="L14" t="s">
        <v>17</v>
      </c>
      <c r="M14" t="s">
        <v>18</v>
      </c>
      <c r="N14" t="s">
        <v>38</v>
      </c>
      <c r="O14" t="str">
        <f>IFERROR(IF(AmazonSales5[[#This Row],[Delivery Date]]="", "", IF(AmazonSales5[[#This Row],[Delivery Date]]-AmazonSales5[[#This Row],[Order Date]]&lt;=2,"Fast","Slow")),"")</f>
        <v/>
      </c>
    </row>
    <row r="15" spans="1:15" x14ac:dyDescent="0.3">
      <c r="A15" t="s">
        <v>65</v>
      </c>
      <c r="B15" s="1">
        <v>44981</v>
      </c>
      <c r="C15" s="1"/>
      <c r="D15" s="1">
        <v>44982</v>
      </c>
      <c r="E15" t="s">
        <v>66</v>
      </c>
      <c r="F15" t="str">
        <f>_xlfn.XLOOKUP(AmazonSales5[[#This Row],[Customer ID]],customerdata[Customer ID],customerdata[Customer Name],"Not Found")</f>
        <v>Hazel Rivera</v>
      </c>
      <c r="G15" t="s">
        <v>67</v>
      </c>
      <c r="H15" t="s">
        <v>50</v>
      </c>
      <c r="I15">
        <v>74</v>
      </c>
      <c r="J15">
        <v>5</v>
      </c>
      <c r="K15">
        <v>370</v>
      </c>
      <c r="L15" t="s">
        <v>17</v>
      </c>
      <c r="M15" t="s">
        <v>18</v>
      </c>
      <c r="N15" t="s">
        <v>38</v>
      </c>
      <c r="O15" t="str">
        <f>IFERROR(IF(AmazonSales5[[#This Row],[Delivery Date]]="", "", IF(AmazonSales5[[#This Row],[Delivery Date]]-AmazonSales5[[#This Row],[Order Date]]&lt;=2,"Fast","Slow")),"")</f>
        <v/>
      </c>
    </row>
    <row r="16" spans="1:15" x14ac:dyDescent="0.3">
      <c r="A16" t="s">
        <v>68</v>
      </c>
      <c r="B16" s="1">
        <v>45164</v>
      </c>
      <c r="C16" s="1"/>
      <c r="D16" s="1">
        <v>45171</v>
      </c>
      <c r="E16" t="s">
        <v>66</v>
      </c>
      <c r="F16" t="str">
        <f>_xlfn.XLOOKUP(AmazonSales5[[#This Row],[Customer ID]],customerdata[Customer ID],customerdata[Customer Name],"Not Found")</f>
        <v>Hazel Rivera</v>
      </c>
      <c r="G16" t="s">
        <v>69</v>
      </c>
      <c r="H16" t="s">
        <v>28</v>
      </c>
      <c r="I16">
        <v>27</v>
      </c>
      <c r="J16">
        <v>1</v>
      </c>
      <c r="K16">
        <v>27</v>
      </c>
      <c r="L16" t="s">
        <v>24</v>
      </c>
      <c r="M16" t="s">
        <v>18</v>
      </c>
      <c r="N16" t="s">
        <v>38</v>
      </c>
      <c r="O16" t="str">
        <f>IFERROR(IF(AmazonSales5[[#This Row],[Delivery Date]]="", "", IF(AmazonSales5[[#This Row],[Delivery Date]]-AmazonSales5[[#This Row],[Order Date]]&lt;=2,"Fast","Slow")),"")</f>
        <v/>
      </c>
    </row>
    <row r="17" spans="1:15" x14ac:dyDescent="0.3">
      <c r="A17" t="s">
        <v>70</v>
      </c>
      <c r="B17" s="1">
        <v>44970</v>
      </c>
      <c r="C17" s="1"/>
      <c r="D17" s="1"/>
      <c r="E17" t="s">
        <v>71</v>
      </c>
      <c r="F17" t="str">
        <f>_xlfn.XLOOKUP(AmazonSales5[[#This Row],[Customer ID]],customerdata[Customer ID],customerdata[Customer Name],"Not Found")</f>
        <v>Scarlett Murphy</v>
      </c>
      <c r="G17" t="s">
        <v>69</v>
      </c>
      <c r="H17" t="s">
        <v>28</v>
      </c>
      <c r="I17">
        <v>27</v>
      </c>
      <c r="J17">
        <v>3</v>
      </c>
      <c r="K17">
        <v>81</v>
      </c>
      <c r="L17" t="s">
        <v>46</v>
      </c>
      <c r="M17" t="s">
        <v>29</v>
      </c>
      <c r="N17" t="s">
        <v>38</v>
      </c>
      <c r="O17" t="str">
        <f>IFERROR(IF(AmazonSales5[[#This Row],[Delivery Date]]="", "", IF(AmazonSales5[[#This Row],[Delivery Date]]-AmazonSales5[[#This Row],[Order Date]]&lt;=2,"Fast","Slow")),"")</f>
        <v/>
      </c>
    </row>
    <row r="18" spans="1:15" x14ac:dyDescent="0.3">
      <c r="A18" t="s">
        <v>72</v>
      </c>
      <c r="B18" s="1">
        <v>45105</v>
      </c>
      <c r="C18" s="1">
        <v>44933</v>
      </c>
      <c r="D18" s="1"/>
      <c r="E18" t="s">
        <v>60</v>
      </c>
      <c r="F18" t="str">
        <f>_xlfn.XLOOKUP(AmazonSales5[[#This Row],[Customer ID]],customerdata[Customer ID],customerdata[Customer Name],"Not Found")</f>
        <v>Emily Johnson</v>
      </c>
      <c r="G18" t="s">
        <v>73</v>
      </c>
      <c r="H18" t="s">
        <v>23</v>
      </c>
      <c r="I18">
        <v>21</v>
      </c>
      <c r="J18">
        <v>3</v>
      </c>
      <c r="K18">
        <v>63</v>
      </c>
      <c r="L18" t="s">
        <v>24</v>
      </c>
      <c r="M18" t="s">
        <v>25</v>
      </c>
      <c r="N18" t="s">
        <v>19</v>
      </c>
      <c r="O18" t="str">
        <f>IFERROR(IF(AmazonSales5[[#This Row],[Delivery Date]]="", "", IF(AmazonSales5[[#This Row],[Delivery Date]]-AmazonSales5[[#This Row],[Order Date]]&lt;=2,"Fast","Slow")),"")</f>
        <v>Fast</v>
      </c>
    </row>
    <row r="19" spans="1:15" x14ac:dyDescent="0.3">
      <c r="A19" t="s">
        <v>74</v>
      </c>
      <c r="B19" s="1">
        <v>45258</v>
      </c>
      <c r="C19" s="1"/>
      <c r="D19" s="1"/>
      <c r="E19" t="s">
        <v>75</v>
      </c>
      <c r="F19" t="str">
        <f>_xlfn.XLOOKUP(AmazonSales5[[#This Row],[Customer ID]],customerdata[Customer ID],customerdata[Customer Name],"Not Found")</f>
        <v>Mason Hall</v>
      </c>
      <c r="G19" t="s">
        <v>76</v>
      </c>
      <c r="H19" t="s">
        <v>50</v>
      </c>
      <c r="I19">
        <v>70</v>
      </c>
      <c r="J19">
        <v>5</v>
      </c>
      <c r="K19">
        <v>350</v>
      </c>
      <c r="L19" t="s">
        <v>33</v>
      </c>
      <c r="M19" t="s">
        <v>29</v>
      </c>
      <c r="N19" t="s">
        <v>38</v>
      </c>
      <c r="O19" t="str">
        <f>IFERROR(IF(AmazonSales5[[#This Row],[Delivery Date]]="", "", IF(AmazonSales5[[#This Row],[Delivery Date]]-AmazonSales5[[#This Row],[Order Date]]&lt;=2,"Fast","Slow")),"")</f>
        <v/>
      </c>
    </row>
    <row r="20" spans="1:15" x14ac:dyDescent="0.3">
      <c r="A20" t="s">
        <v>77</v>
      </c>
      <c r="B20" s="1">
        <v>45163</v>
      </c>
      <c r="C20" s="1"/>
      <c r="D20" s="1"/>
      <c r="E20" t="s">
        <v>78</v>
      </c>
      <c r="F20" t="str">
        <f>_xlfn.XLOOKUP(AmazonSales5[[#This Row],[Customer ID]],customerdata[Customer ID],customerdata[Customer Name],"Not Found")</f>
        <v>Jacob Price</v>
      </c>
      <c r="G20" t="s">
        <v>64</v>
      </c>
      <c r="H20" t="s">
        <v>28</v>
      </c>
      <c r="I20">
        <v>94</v>
      </c>
      <c r="J20">
        <v>4</v>
      </c>
      <c r="K20">
        <v>376</v>
      </c>
      <c r="L20" t="s">
        <v>24</v>
      </c>
      <c r="M20" t="s">
        <v>29</v>
      </c>
      <c r="N20" t="s">
        <v>30</v>
      </c>
      <c r="O20" t="str">
        <f>IFERROR(IF(AmazonSales5[[#This Row],[Delivery Date]]="", "", IF(AmazonSales5[[#This Row],[Delivery Date]]-AmazonSales5[[#This Row],[Order Date]]&lt;=2,"Fast","Slow")),"")</f>
        <v/>
      </c>
    </row>
    <row r="21" spans="1:15" x14ac:dyDescent="0.3">
      <c r="A21" t="s">
        <v>79</v>
      </c>
      <c r="B21" s="1">
        <v>45264</v>
      </c>
      <c r="C21" s="1"/>
      <c r="D21" s="1"/>
      <c r="E21" t="s">
        <v>80</v>
      </c>
      <c r="F21" t="str">
        <f>_xlfn.XLOOKUP(AmazonSales5[[#This Row],[Customer ID]],customerdata[Customer ID],customerdata[Customer Name],"Not Found")</f>
        <v>Emma King</v>
      </c>
      <c r="G21" t="s">
        <v>81</v>
      </c>
      <c r="H21" t="s">
        <v>16</v>
      </c>
      <c r="I21">
        <v>813</v>
      </c>
      <c r="J21">
        <v>2</v>
      </c>
      <c r="K21">
        <v>1626</v>
      </c>
      <c r="L21" t="s">
        <v>24</v>
      </c>
      <c r="M21" t="s">
        <v>29</v>
      </c>
      <c r="N21" t="s">
        <v>61</v>
      </c>
      <c r="O21" t="str">
        <f>IFERROR(IF(AmazonSales5[[#This Row],[Delivery Date]]="", "", IF(AmazonSales5[[#This Row],[Delivery Date]]-AmazonSales5[[#This Row],[Order Date]]&lt;=2,"Fast","Slow")),"")</f>
        <v/>
      </c>
    </row>
    <row r="22" spans="1:15" x14ac:dyDescent="0.3">
      <c r="A22" t="s">
        <v>82</v>
      </c>
      <c r="B22" s="1">
        <v>44967</v>
      </c>
      <c r="C22" s="1"/>
      <c r="D22" s="1"/>
      <c r="E22" t="s">
        <v>52</v>
      </c>
      <c r="F22" t="str">
        <f>_xlfn.XLOOKUP(AmazonSales5[[#This Row],[Customer ID]],customerdata[Customer ID],customerdata[Customer Name],"Not Found")</f>
        <v>Olivia Martinez</v>
      </c>
      <c r="G22" t="s">
        <v>73</v>
      </c>
      <c r="H22" t="s">
        <v>45</v>
      </c>
      <c r="I22">
        <v>21</v>
      </c>
      <c r="J22">
        <v>4</v>
      </c>
      <c r="K22">
        <v>84</v>
      </c>
      <c r="L22" t="s">
        <v>33</v>
      </c>
      <c r="M22" t="s">
        <v>29</v>
      </c>
      <c r="N22" t="s">
        <v>38</v>
      </c>
      <c r="O22" t="str">
        <f>IFERROR(IF(AmazonSales5[[#This Row],[Delivery Date]]="", "", IF(AmazonSales5[[#This Row],[Delivery Date]]-AmazonSales5[[#This Row],[Order Date]]&lt;=2,"Fast","Slow")),"")</f>
        <v/>
      </c>
    </row>
    <row r="23" spans="1:15" x14ac:dyDescent="0.3">
      <c r="A23" t="s">
        <v>83</v>
      </c>
      <c r="B23" s="1">
        <v>45180</v>
      </c>
      <c r="C23" s="1"/>
      <c r="D23" s="1"/>
      <c r="E23" t="s">
        <v>63</v>
      </c>
      <c r="F23" t="str">
        <f>_xlfn.XLOOKUP(AmazonSales5[[#This Row],[Customer ID]],customerdata[Customer ID],customerdata[Customer Name],"Not Found")</f>
        <v>Charlotte Reed</v>
      </c>
      <c r="G23" t="s">
        <v>15</v>
      </c>
      <c r="H23" t="s">
        <v>50</v>
      </c>
      <c r="I23">
        <v>46</v>
      </c>
      <c r="J23">
        <v>5</v>
      </c>
      <c r="K23">
        <v>230</v>
      </c>
      <c r="L23" t="s">
        <v>33</v>
      </c>
      <c r="M23" t="s">
        <v>29</v>
      </c>
      <c r="N23" t="s">
        <v>30</v>
      </c>
      <c r="O23" t="str">
        <f>IFERROR(IF(AmazonSales5[[#This Row],[Delivery Date]]="", "", IF(AmazonSales5[[#This Row],[Delivery Date]]-AmazonSales5[[#This Row],[Order Date]]&lt;=2,"Fast","Slow")),"")</f>
        <v/>
      </c>
    </row>
    <row r="24" spans="1:15" x14ac:dyDescent="0.3">
      <c r="A24" t="s">
        <v>84</v>
      </c>
      <c r="B24" s="1">
        <v>44970</v>
      </c>
      <c r="C24" s="1"/>
      <c r="D24" s="1">
        <v>44971</v>
      </c>
      <c r="E24" t="s">
        <v>85</v>
      </c>
      <c r="F24" t="str">
        <f>_xlfn.XLOOKUP(AmazonSales5[[#This Row],[Customer ID]],customerdata[Customer ID],customerdata[Customer Name],"Not Found")</f>
        <v>Elijah Lewis</v>
      </c>
      <c r="G24" t="s">
        <v>37</v>
      </c>
      <c r="H24" t="s">
        <v>50</v>
      </c>
      <c r="I24">
        <v>58</v>
      </c>
      <c r="J24">
        <v>3</v>
      </c>
      <c r="K24">
        <v>174</v>
      </c>
      <c r="L24" t="s">
        <v>41</v>
      </c>
      <c r="M24" t="s">
        <v>18</v>
      </c>
      <c r="N24" t="s">
        <v>38</v>
      </c>
      <c r="O24" t="str">
        <f>IFERROR(IF(AmazonSales5[[#This Row],[Delivery Date]]="", "", IF(AmazonSales5[[#This Row],[Delivery Date]]-AmazonSales5[[#This Row],[Order Date]]&lt;=2,"Fast","Slow")),"")</f>
        <v/>
      </c>
    </row>
    <row r="25" spans="1:15" x14ac:dyDescent="0.3">
      <c r="A25" t="s">
        <v>86</v>
      </c>
      <c r="B25" s="1">
        <v>45232</v>
      </c>
      <c r="C25" s="1">
        <v>45057</v>
      </c>
      <c r="D25" s="1"/>
      <c r="E25" t="s">
        <v>87</v>
      </c>
      <c r="F25" t="str">
        <f>_xlfn.XLOOKUP(AmazonSales5[[#This Row],[Customer ID]],customerdata[Customer ID],customerdata[Customer Name],"Not Found")</f>
        <v>Lily Bennett</v>
      </c>
      <c r="G25" t="s">
        <v>64</v>
      </c>
      <c r="H25" t="s">
        <v>50</v>
      </c>
      <c r="I25">
        <v>96</v>
      </c>
      <c r="J25">
        <v>5</v>
      </c>
      <c r="K25">
        <v>480</v>
      </c>
      <c r="L25" t="s">
        <v>41</v>
      </c>
      <c r="M25" t="s">
        <v>25</v>
      </c>
      <c r="N25" t="s">
        <v>38</v>
      </c>
      <c r="O25" t="str">
        <f>IFERROR(IF(AmazonSales5[[#This Row],[Delivery Date]]="", "", IF(AmazonSales5[[#This Row],[Delivery Date]]-AmazonSales5[[#This Row],[Order Date]]&lt;=2,"Fast","Slow")),"")</f>
        <v>Fast</v>
      </c>
    </row>
    <row r="26" spans="1:15" x14ac:dyDescent="0.3">
      <c r="A26" t="s">
        <v>88</v>
      </c>
      <c r="B26" s="1">
        <v>45074</v>
      </c>
      <c r="C26" s="1">
        <v>45076</v>
      </c>
      <c r="D26" s="1"/>
      <c r="E26" t="s">
        <v>89</v>
      </c>
      <c r="F26" t="str">
        <f>_xlfn.XLOOKUP(AmazonSales5[[#This Row],[Customer ID]],customerdata[Customer ID],customerdata[Customer Name],"Not Found")</f>
        <v>Benjamin Clark</v>
      </c>
      <c r="G26" t="s">
        <v>90</v>
      </c>
      <c r="H26" t="s">
        <v>28</v>
      </c>
      <c r="I26">
        <v>43</v>
      </c>
      <c r="J26">
        <v>1</v>
      </c>
      <c r="K26">
        <v>43</v>
      </c>
      <c r="L26" t="s">
        <v>46</v>
      </c>
      <c r="M26" t="s">
        <v>25</v>
      </c>
      <c r="N26" t="s">
        <v>38</v>
      </c>
      <c r="O26" t="str">
        <f>IFERROR(IF(AmazonSales5[[#This Row],[Delivery Date]]="", "", IF(AmazonSales5[[#This Row],[Delivery Date]]-AmazonSales5[[#This Row],[Order Date]]&lt;=2,"Fast","Slow")),"")</f>
        <v>Fast</v>
      </c>
    </row>
    <row r="27" spans="1:15" x14ac:dyDescent="0.3">
      <c r="A27" t="s">
        <v>91</v>
      </c>
      <c r="B27" s="1">
        <v>45214</v>
      </c>
      <c r="C27" s="1">
        <v>45220</v>
      </c>
      <c r="D27" s="1"/>
      <c r="E27" t="s">
        <v>36</v>
      </c>
      <c r="F27" t="str">
        <f>_xlfn.XLOOKUP(AmazonSales5[[#This Row],[Customer ID]],customerdata[Customer ID],customerdata[Customer Name],"Not Found")</f>
        <v>Hazel Brooks</v>
      </c>
      <c r="G27" t="s">
        <v>92</v>
      </c>
      <c r="H27" t="s">
        <v>28</v>
      </c>
      <c r="I27">
        <v>64</v>
      </c>
      <c r="J27">
        <v>4</v>
      </c>
      <c r="K27">
        <v>256</v>
      </c>
      <c r="L27" t="s">
        <v>46</v>
      </c>
      <c r="M27" t="s">
        <v>25</v>
      </c>
      <c r="N27" t="s">
        <v>30</v>
      </c>
      <c r="O27" t="str">
        <f>IFERROR(IF(AmazonSales5[[#This Row],[Delivery Date]]="", "", IF(AmazonSales5[[#This Row],[Delivery Date]]-AmazonSales5[[#This Row],[Order Date]]&lt;=2,"Fast","Slow")),"")</f>
        <v>Slow</v>
      </c>
    </row>
    <row r="28" spans="1:15" x14ac:dyDescent="0.3">
      <c r="A28" t="s">
        <v>93</v>
      </c>
      <c r="B28" s="1">
        <v>44942</v>
      </c>
      <c r="C28" s="1"/>
      <c r="D28" s="1"/>
      <c r="E28" t="s">
        <v>94</v>
      </c>
      <c r="F28" t="str">
        <f>_xlfn.XLOOKUP(AmazonSales5[[#This Row],[Customer ID]],customerdata[Customer ID],customerdata[Customer Name],"Not Found")</f>
        <v>Grace Scott</v>
      </c>
      <c r="G28" t="s">
        <v>76</v>
      </c>
      <c r="H28" t="s">
        <v>28</v>
      </c>
      <c r="I28">
        <v>70</v>
      </c>
      <c r="J28">
        <v>2</v>
      </c>
      <c r="K28">
        <v>140</v>
      </c>
      <c r="L28" t="s">
        <v>41</v>
      </c>
      <c r="M28" t="s">
        <v>29</v>
      </c>
      <c r="N28" t="s">
        <v>38</v>
      </c>
      <c r="O28" t="str">
        <f>IFERROR(IF(AmazonSales5[[#This Row],[Delivery Date]]="", "", IF(AmazonSales5[[#This Row],[Delivery Date]]-AmazonSales5[[#This Row],[Order Date]]&lt;=2,"Fast","Slow")),"")</f>
        <v/>
      </c>
    </row>
    <row r="29" spans="1:15" x14ac:dyDescent="0.3">
      <c r="A29" t="s">
        <v>95</v>
      </c>
      <c r="B29" s="1">
        <v>45179</v>
      </c>
      <c r="C29" s="1"/>
      <c r="D29" s="1"/>
      <c r="E29" t="s">
        <v>94</v>
      </c>
      <c r="F29" t="str">
        <f>_xlfn.XLOOKUP(AmazonSales5[[#This Row],[Customer ID]],customerdata[Customer ID],customerdata[Customer Name],"Not Found")</f>
        <v>Grace Scott</v>
      </c>
      <c r="G29" t="s">
        <v>22</v>
      </c>
      <c r="H29" t="s">
        <v>45</v>
      </c>
      <c r="I29">
        <v>97</v>
      </c>
      <c r="J29">
        <v>3</v>
      </c>
      <c r="K29">
        <v>291</v>
      </c>
      <c r="L29" t="s">
        <v>24</v>
      </c>
      <c r="M29" t="s">
        <v>29</v>
      </c>
      <c r="N29" t="s">
        <v>38</v>
      </c>
      <c r="O29" t="str">
        <f>IFERROR(IF(AmazonSales5[[#This Row],[Delivery Date]]="", "", IF(AmazonSales5[[#This Row],[Delivery Date]]-AmazonSales5[[#This Row],[Order Date]]&lt;=2,"Fast","Slow")),"")</f>
        <v/>
      </c>
    </row>
    <row r="30" spans="1:15" x14ac:dyDescent="0.3">
      <c r="A30" t="s">
        <v>96</v>
      </c>
      <c r="B30" s="1">
        <v>45117</v>
      </c>
      <c r="C30" s="1"/>
      <c r="D30" s="1">
        <v>45209</v>
      </c>
      <c r="E30" t="s">
        <v>97</v>
      </c>
      <c r="F30" t="str">
        <f>_xlfn.XLOOKUP(AmazonSales5[[#This Row],[Customer ID]],customerdata[Customer ID],customerdata[Customer Name],"Not Found")</f>
        <v>Liam Walker</v>
      </c>
      <c r="G30" t="s">
        <v>49</v>
      </c>
      <c r="H30" t="s">
        <v>23</v>
      </c>
      <c r="I30">
        <v>37</v>
      </c>
      <c r="J30">
        <v>3</v>
      </c>
      <c r="K30">
        <v>111</v>
      </c>
      <c r="L30" t="s">
        <v>17</v>
      </c>
      <c r="M30" t="s">
        <v>18</v>
      </c>
      <c r="N30" t="s">
        <v>19</v>
      </c>
      <c r="O30" t="str">
        <f>IFERROR(IF(AmazonSales5[[#This Row],[Delivery Date]]="", "", IF(AmazonSales5[[#This Row],[Delivery Date]]-AmazonSales5[[#This Row],[Order Date]]&lt;=2,"Fast","Slow")),"")</f>
        <v/>
      </c>
    </row>
    <row r="31" spans="1:15" x14ac:dyDescent="0.3">
      <c r="A31" t="s">
        <v>98</v>
      </c>
      <c r="B31" s="1">
        <v>44971</v>
      </c>
      <c r="C31" s="1"/>
      <c r="D31" s="1"/>
      <c r="E31" t="s">
        <v>99</v>
      </c>
      <c r="F31" t="str">
        <f>_xlfn.XLOOKUP(AmazonSales5[[#This Row],[Customer ID]],customerdata[Customer ID],customerdata[Customer Name],"Not Found")</f>
        <v>Harper Young</v>
      </c>
      <c r="G31" t="s">
        <v>76</v>
      </c>
      <c r="H31" t="s">
        <v>16</v>
      </c>
      <c r="I31">
        <v>69</v>
      </c>
      <c r="J31">
        <v>5</v>
      </c>
      <c r="K31">
        <v>345</v>
      </c>
      <c r="L31" t="s">
        <v>41</v>
      </c>
      <c r="M31" t="s">
        <v>29</v>
      </c>
      <c r="N31" t="s">
        <v>38</v>
      </c>
      <c r="O31" t="str">
        <f>IFERROR(IF(AmazonSales5[[#This Row],[Delivery Date]]="", "", IF(AmazonSales5[[#This Row],[Delivery Date]]-AmazonSales5[[#This Row],[Order Date]]&lt;=2,"Fast","Slow")),"")</f>
        <v/>
      </c>
    </row>
    <row r="32" spans="1:15" x14ac:dyDescent="0.3">
      <c r="A32" t="s">
        <v>100</v>
      </c>
      <c r="B32" s="1">
        <v>45011</v>
      </c>
      <c r="C32" s="1"/>
      <c r="D32" s="1"/>
      <c r="E32" t="s">
        <v>101</v>
      </c>
      <c r="F32" t="str">
        <f>_xlfn.XLOOKUP(AmazonSales5[[#This Row],[Customer ID]],customerdata[Customer ID],customerdata[Customer Name],"Not Found")</f>
        <v>Harper Young</v>
      </c>
      <c r="G32" t="s">
        <v>90</v>
      </c>
      <c r="H32" t="s">
        <v>16</v>
      </c>
      <c r="I32">
        <v>42</v>
      </c>
      <c r="J32">
        <v>5</v>
      </c>
      <c r="K32">
        <v>210</v>
      </c>
      <c r="L32" t="s">
        <v>41</v>
      </c>
      <c r="M32" t="s">
        <v>29</v>
      </c>
      <c r="N32" t="s">
        <v>34</v>
      </c>
      <c r="O32" t="str">
        <f>IFERROR(IF(AmazonSales5[[#This Row],[Delivery Date]]="", "", IF(AmazonSales5[[#This Row],[Delivery Date]]-AmazonSales5[[#This Row],[Order Date]]&lt;=2,"Fast","Slow")),"")</f>
        <v/>
      </c>
    </row>
    <row r="33" spans="1:15" x14ac:dyDescent="0.3">
      <c r="A33" t="s">
        <v>102</v>
      </c>
      <c r="B33" s="1">
        <v>45092</v>
      </c>
      <c r="C33" s="1"/>
      <c r="D33" s="1">
        <v>45099</v>
      </c>
      <c r="E33" t="s">
        <v>103</v>
      </c>
      <c r="F33" t="str">
        <f>_xlfn.XLOOKUP(AmazonSales5[[#This Row],[Customer ID]],customerdata[Customer ID],customerdata[Customer Name],"Not Found")</f>
        <v>Emily Johnson</v>
      </c>
      <c r="G33" t="s">
        <v>104</v>
      </c>
      <c r="H33" t="s">
        <v>23</v>
      </c>
      <c r="I33">
        <v>11</v>
      </c>
      <c r="J33">
        <v>5</v>
      </c>
      <c r="K33">
        <v>55</v>
      </c>
      <c r="L33" t="s">
        <v>46</v>
      </c>
      <c r="M33" t="s">
        <v>18</v>
      </c>
      <c r="N33" t="s">
        <v>61</v>
      </c>
      <c r="O33" t="str">
        <f>IFERROR(IF(AmazonSales5[[#This Row],[Delivery Date]]="", "", IF(AmazonSales5[[#This Row],[Delivery Date]]-AmazonSales5[[#This Row],[Order Date]]&lt;=2,"Fast","Slow")),"")</f>
        <v/>
      </c>
    </row>
    <row r="34" spans="1:15" x14ac:dyDescent="0.3">
      <c r="A34" t="s">
        <v>105</v>
      </c>
      <c r="B34" s="1">
        <v>45068</v>
      </c>
      <c r="C34" s="1">
        <v>45069</v>
      </c>
      <c r="D34" s="1"/>
      <c r="E34" t="s">
        <v>85</v>
      </c>
      <c r="F34" t="str">
        <f>_xlfn.XLOOKUP(AmazonSales5[[#This Row],[Customer ID]],customerdata[Customer ID],customerdata[Customer Name],"Not Found")</f>
        <v>Elijah Lewis</v>
      </c>
      <c r="G34" t="s">
        <v>69</v>
      </c>
      <c r="H34" t="s">
        <v>28</v>
      </c>
      <c r="I34">
        <v>27</v>
      </c>
      <c r="J34">
        <v>2</v>
      </c>
      <c r="K34">
        <v>54</v>
      </c>
      <c r="L34" t="s">
        <v>17</v>
      </c>
      <c r="M34" t="s">
        <v>25</v>
      </c>
      <c r="N34" t="s">
        <v>30</v>
      </c>
      <c r="O34" t="str">
        <f>IFERROR(IF(AmazonSales5[[#This Row],[Delivery Date]]="", "", IF(AmazonSales5[[#This Row],[Delivery Date]]-AmazonSales5[[#This Row],[Order Date]]&lt;=2,"Fast","Slow")),"")</f>
        <v>Fast</v>
      </c>
    </row>
    <row r="35" spans="1:15" x14ac:dyDescent="0.3">
      <c r="A35" t="s">
        <v>106</v>
      </c>
      <c r="B35" s="1">
        <v>45250</v>
      </c>
      <c r="C35" s="1"/>
      <c r="D35" s="1"/>
      <c r="E35" t="s">
        <v>80</v>
      </c>
      <c r="F35" t="str">
        <f>_xlfn.XLOOKUP(AmazonSales5[[#This Row],[Customer ID]],customerdata[Customer ID],customerdata[Customer Name],"Not Found")</f>
        <v>Emma King</v>
      </c>
      <c r="G35" t="s">
        <v>73</v>
      </c>
      <c r="H35" t="s">
        <v>28</v>
      </c>
      <c r="I35">
        <v>21</v>
      </c>
      <c r="J35">
        <v>1</v>
      </c>
      <c r="K35">
        <v>21</v>
      </c>
      <c r="L35" t="s">
        <v>41</v>
      </c>
      <c r="M35" t="s">
        <v>29</v>
      </c>
      <c r="N35" t="s">
        <v>19</v>
      </c>
      <c r="O35" t="str">
        <f>IFERROR(IF(AmazonSales5[[#This Row],[Delivery Date]]="", "", IF(AmazonSales5[[#This Row],[Delivery Date]]-AmazonSales5[[#This Row],[Order Date]]&lt;=2,"Fast","Slow")),"")</f>
        <v/>
      </c>
    </row>
    <row r="36" spans="1:15" x14ac:dyDescent="0.3">
      <c r="A36" t="s">
        <v>107</v>
      </c>
      <c r="B36" s="1">
        <v>44938</v>
      </c>
      <c r="C36" s="1">
        <v>45286</v>
      </c>
      <c r="D36" s="1"/>
      <c r="E36" t="s">
        <v>108</v>
      </c>
      <c r="F36" t="str">
        <f>_xlfn.XLOOKUP(AmazonSales5[[#This Row],[Customer ID]],customerdata[Customer ID],customerdata[Customer Name],"Not Found")</f>
        <v>Luke Gray</v>
      </c>
      <c r="G36" t="s">
        <v>109</v>
      </c>
      <c r="H36" t="s">
        <v>28</v>
      </c>
      <c r="I36">
        <v>172</v>
      </c>
      <c r="J36">
        <v>1</v>
      </c>
      <c r="K36">
        <v>172</v>
      </c>
      <c r="L36" t="s">
        <v>33</v>
      </c>
      <c r="M36" t="s">
        <v>25</v>
      </c>
      <c r="N36" t="s">
        <v>30</v>
      </c>
      <c r="O36" t="str">
        <f>IFERROR(IF(AmazonSales5[[#This Row],[Delivery Date]]="", "", IF(AmazonSales5[[#This Row],[Delivery Date]]-AmazonSales5[[#This Row],[Order Date]]&lt;=2,"Fast","Slow")),"")</f>
        <v>Slow</v>
      </c>
    </row>
    <row r="37" spans="1:15" x14ac:dyDescent="0.3">
      <c r="A37" t="s">
        <v>110</v>
      </c>
      <c r="B37" s="1">
        <v>45130</v>
      </c>
      <c r="C37" s="1"/>
      <c r="D37" s="1"/>
      <c r="E37" t="s">
        <v>101</v>
      </c>
      <c r="F37" t="str">
        <f>_xlfn.XLOOKUP(AmazonSales5[[#This Row],[Customer ID]],customerdata[Customer ID],customerdata[Customer Name],"Not Found")</f>
        <v>Harper Young</v>
      </c>
      <c r="G37" t="s">
        <v>111</v>
      </c>
      <c r="H37" t="s">
        <v>16</v>
      </c>
      <c r="I37">
        <v>212</v>
      </c>
      <c r="J37">
        <v>3</v>
      </c>
      <c r="K37">
        <v>636</v>
      </c>
      <c r="L37" t="s">
        <v>41</v>
      </c>
      <c r="M37" t="s">
        <v>29</v>
      </c>
      <c r="N37" t="s">
        <v>34</v>
      </c>
      <c r="O37" t="str">
        <f>IFERROR(IF(AmazonSales5[[#This Row],[Delivery Date]]="", "", IF(AmazonSales5[[#This Row],[Delivery Date]]-AmazonSales5[[#This Row],[Order Date]]&lt;=2,"Fast","Slow")),"")</f>
        <v/>
      </c>
    </row>
    <row r="38" spans="1:15" x14ac:dyDescent="0.3">
      <c r="A38" t="s">
        <v>112</v>
      </c>
      <c r="B38" s="1">
        <v>45216</v>
      </c>
      <c r="C38" s="1">
        <v>45221</v>
      </c>
      <c r="D38" s="1"/>
      <c r="E38" t="s">
        <v>32</v>
      </c>
      <c r="F38" t="str">
        <f>_xlfn.XLOOKUP(AmazonSales5[[#This Row],[Customer ID]],customerdata[Customer ID],customerdata[Customer Name],"Not Found")</f>
        <v>Grace Ward</v>
      </c>
      <c r="G38" t="s">
        <v>90</v>
      </c>
      <c r="H38" t="s">
        <v>23</v>
      </c>
      <c r="I38">
        <v>41</v>
      </c>
      <c r="J38">
        <v>4</v>
      </c>
      <c r="K38">
        <v>164</v>
      </c>
      <c r="L38" t="s">
        <v>24</v>
      </c>
      <c r="M38" t="s">
        <v>25</v>
      </c>
      <c r="N38" t="s">
        <v>38</v>
      </c>
      <c r="O38" t="str">
        <f>IFERROR(IF(AmazonSales5[[#This Row],[Delivery Date]]="", "", IF(AmazonSales5[[#This Row],[Delivery Date]]-AmazonSales5[[#This Row],[Order Date]]&lt;=2,"Fast","Slow")),"")</f>
        <v>Slow</v>
      </c>
    </row>
    <row r="39" spans="1:15" x14ac:dyDescent="0.3">
      <c r="A39" t="s">
        <v>113</v>
      </c>
      <c r="B39" s="1">
        <v>45160</v>
      </c>
      <c r="C39" s="1"/>
      <c r="D39" s="1">
        <v>45162</v>
      </c>
      <c r="E39" t="s">
        <v>87</v>
      </c>
      <c r="F39" t="str">
        <f>_xlfn.XLOOKUP(AmazonSales5[[#This Row],[Customer ID]],customerdata[Customer ID],customerdata[Customer Name],"Not Found")</f>
        <v>Lily Bennett</v>
      </c>
      <c r="G39" t="s">
        <v>114</v>
      </c>
      <c r="H39" t="s">
        <v>16</v>
      </c>
      <c r="I39">
        <v>32</v>
      </c>
      <c r="J39">
        <v>2</v>
      </c>
      <c r="K39">
        <v>64</v>
      </c>
      <c r="L39" t="s">
        <v>46</v>
      </c>
      <c r="M39" t="s">
        <v>18</v>
      </c>
      <c r="N39" t="s">
        <v>61</v>
      </c>
      <c r="O39" t="str">
        <f>IFERROR(IF(AmazonSales5[[#This Row],[Delivery Date]]="", "", IF(AmazonSales5[[#This Row],[Delivery Date]]-AmazonSales5[[#This Row],[Order Date]]&lt;=2,"Fast","Slow")),"")</f>
        <v/>
      </c>
    </row>
    <row r="40" spans="1:15" x14ac:dyDescent="0.3">
      <c r="A40" t="s">
        <v>115</v>
      </c>
      <c r="B40" s="1">
        <v>44938</v>
      </c>
      <c r="C40" s="1"/>
      <c r="D40" s="1"/>
      <c r="E40" t="s">
        <v>116</v>
      </c>
      <c r="F40" t="str">
        <f>_xlfn.XLOOKUP(AmazonSales5[[#This Row],[Customer ID]],customerdata[Customer ID],customerdata[Customer Name],"Not Found")</f>
        <v>Scarlett Murphy</v>
      </c>
      <c r="G40" t="s">
        <v>92</v>
      </c>
      <c r="H40" t="s">
        <v>23</v>
      </c>
      <c r="I40">
        <v>66</v>
      </c>
      <c r="J40">
        <v>2</v>
      </c>
      <c r="K40">
        <v>132</v>
      </c>
      <c r="L40" t="s">
        <v>17</v>
      </c>
      <c r="M40" t="s">
        <v>29</v>
      </c>
      <c r="N40" t="s">
        <v>19</v>
      </c>
      <c r="O40" t="str">
        <f>IFERROR(IF(AmazonSales5[[#This Row],[Delivery Date]]="", "", IF(AmazonSales5[[#This Row],[Delivery Date]]-AmazonSales5[[#This Row],[Order Date]]&lt;=2,"Fast","Slow")),"")</f>
        <v/>
      </c>
    </row>
    <row r="41" spans="1:15" x14ac:dyDescent="0.3">
      <c r="A41" t="s">
        <v>117</v>
      </c>
      <c r="B41" s="1">
        <v>44938</v>
      </c>
      <c r="C41" s="1"/>
      <c r="D41" s="1"/>
      <c r="E41" t="s">
        <v>118</v>
      </c>
      <c r="F41" t="str">
        <f>_xlfn.XLOOKUP(AmazonSales5[[#This Row],[Customer ID]],customerdata[Customer ID],customerdata[Customer Name],"Not Found")</f>
        <v>Ava Robinson</v>
      </c>
      <c r="G41" t="s">
        <v>119</v>
      </c>
      <c r="H41" t="s">
        <v>23</v>
      </c>
      <c r="I41">
        <v>62</v>
      </c>
      <c r="J41">
        <v>4</v>
      </c>
      <c r="K41">
        <v>248</v>
      </c>
      <c r="L41" t="s">
        <v>46</v>
      </c>
      <c r="M41" t="s">
        <v>29</v>
      </c>
      <c r="N41" t="s">
        <v>34</v>
      </c>
      <c r="O41" t="str">
        <f>IFERROR(IF(AmazonSales5[[#This Row],[Delivery Date]]="", "", IF(AmazonSales5[[#This Row],[Delivery Date]]-AmazonSales5[[#This Row],[Order Date]]&lt;=2,"Fast","Slow")),"")</f>
        <v/>
      </c>
    </row>
    <row r="42" spans="1:15" x14ac:dyDescent="0.3">
      <c r="A42" t="s">
        <v>120</v>
      </c>
      <c r="B42" s="1">
        <v>45192</v>
      </c>
      <c r="C42" s="1">
        <v>45199</v>
      </c>
      <c r="D42" s="1"/>
      <c r="E42" t="s">
        <v>121</v>
      </c>
      <c r="F42" t="str">
        <f>_xlfn.XLOOKUP(AmazonSales5[[#This Row],[Customer ID]],customerdata[Customer ID],customerdata[Customer Name],"Not Found")</f>
        <v>James Miller</v>
      </c>
      <c r="G42" t="s">
        <v>109</v>
      </c>
      <c r="H42" t="s">
        <v>50</v>
      </c>
      <c r="I42">
        <v>173</v>
      </c>
      <c r="J42">
        <v>4</v>
      </c>
      <c r="K42">
        <v>692</v>
      </c>
      <c r="L42" t="s">
        <v>17</v>
      </c>
      <c r="M42" t="s">
        <v>25</v>
      </c>
      <c r="N42" t="s">
        <v>34</v>
      </c>
      <c r="O42" t="str">
        <f>IFERROR(IF(AmazonSales5[[#This Row],[Delivery Date]]="", "", IF(AmazonSales5[[#This Row],[Delivery Date]]-AmazonSales5[[#This Row],[Order Date]]&lt;=2,"Fast","Slow")),"")</f>
        <v>Slow</v>
      </c>
    </row>
    <row r="43" spans="1:15" x14ac:dyDescent="0.3">
      <c r="A43" t="s">
        <v>122</v>
      </c>
      <c r="B43" s="1">
        <v>45123</v>
      </c>
      <c r="C43" s="1">
        <v>45125</v>
      </c>
      <c r="D43" s="1"/>
      <c r="E43" t="s">
        <v>97</v>
      </c>
      <c r="F43" t="str">
        <f>_xlfn.XLOOKUP(AmazonSales5[[#This Row],[Customer ID]],customerdata[Customer ID],customerdata[Customer Name],"Not Found")</f>
        <v>Liam Walker</v>
      </c>
      <c r="G43" t="s">
        <v>119</v>
      </c>
      <c r="H43" t="s">
        <v>50</v>
      </c>
      <c r="I43">
        <v>63</v>
      </c>
      <c r="J43">
        <v>3</v>
      </c>
      <c r="K43">
        <v>189</v>
      </c>
      <c r="L43" t="s">
        <v>17</v>
      </c>
      <c r="M43" t="s">
        <v>25</v>
      </c>
      <c r="N43" t="s">
        <v>34</v>
      </c>
      <c r="O43" t="str">
        <f>IFERROR(IF(AmazonSales5[[#This Row],[Delivery Date]]="", "", IF(AmazonSales5[[#This Row],[Delivery Date]]-AmazonSales5[[#This Row],[Order Date]]&lt;=2,"Fast","Slow")),"")</f>
        <v>Fast</v>
      </c>
    </row>
    <row r="44" spans="1:15" x14ac:dyDescent="0.3">
      <c r="A44" t="s">
        <v>123</v>
      </c>
      <c r="B44" s="1">
        <v>44962</v>
      </c>
      <c r="C44" s="1"/>
      <c r="D44" s="1">
        <v>44968</v>
      </c>
      <c r="E44" t="s">
        <v>89</v>
      </c>
      <c r="F44" t="str">
        <f>_xlfn.XLOOKUP(AmazonSales5[[#This Row],[Customer ID]],customerdata[Customer ID],customerdata[Customer Name],"Not Found")</f>
        <v>Benjamin Clark</v>
      </c>
      <c r="G44" t="s">
        <v>49</v>
      </c>
      <c r="H44" t="s">
        <v>50</v>
      </c>
      <c r="I44">
        <v>36</v>
      </c>
      <c r="J44">
        <v>3</v>
      </c>
      <c r="K44">
        <v>108</v>
      </c>
      <c r="L44" t="s">
        <v>46</v>
      </c>
      <c r="M44" t="s">
        <v>18</v>
      </c>
      <c r="N44" t="s">
        <v>30</v>
      </c>
      <c r="O44" t="str">
        <f>IFERROR(IF(AmazonSales5[[#This Row],[Delivery Date]]="", "", IF(AmazonSales5[[#This Row],[Delivery Date]]-AmazonSales5[[#This Row],[Order Date]]&lt;=2,"Fast","Slow")),"")</f>
        <v/>
      </c>
    </row>
    <row r="45" spans="1:15" x14ac:dyDescent="0.3">
      <c r="A45" t="s">
        <v>124</v>
      </c>
      <c r="B45" s="1">
        <v>45278</v>
      </c>
      <c r="C45" s="1"/>
      <c r="D45" s="1">
        <v>45283</v>
      </c>
      <c r="E45" t="s">
        <v>118</v>
      </c>
      <c r="F45" t="str">
        <f>_xlfn.XLOOKUP(AmazonSales5[[#This Row],[Customer ID]],customerdata[Customer ID],customerdata[Customer Name],"Not Found")</f>
        <v>Ava Robinson</v>
      </c>
      <c r="G45" t="s">
        <v>119</v>
      </c>
      <c r="H45" t="s">
        <v>45</v>
      </c>
      <c r="I45">
        <v>62</v>
      </c>
      <c r="J45">
        <v>1</v>
      </c>
      <c r="K45">
        <v>62</v>
      </c>
      <c r="L45" t="s">
        <v>17</v>
      </c>
      <c r="M45" t="s">
        <v>18</v>
      </c>
      <c r="N45" t="s">
        <v>38</v>
      </c>
      <c r="O45" t="str">
        <f>IFERROR(IF(AmazonSales5[[#This Row],[Delivery Date]]="", "", IF(AmazonSales5[[#This Row],[Delivery Date]]-AmazonSales5[[#This Row],[Order Date]]&lt;=2,"Fast","Slow")),"")</f>
        <v/>
      </c>
    </row>
    <row r="46" spans="1:15" x14ac:dyDescent="0.3">
      <c r="A46" t="s">
        <v>125</v>
      </c>
      <c r="B46" s="1">
        <v>45088</v>
      </c>
      <c r="C46" s="1"/>
      <c r="D46" s="1">
        <v>45091</v>
      </c>
      <c r="E46" t="s">
        <v>43</v>
      </c>
      <c r="F46" t="str">
        <f>_xlfn.XLOOKUP(AmazonSales5[[#This Row],[Customer ID]],customerdata[Customer ID],customerdata[Customer Name],"Not Found")</f>
        <v>Noah Wilson</v>
      </c>
      <c r="G46" t="s">
        <v>55</v>
      </c>
      <c r="H46" t="s">
        <v>45</v>
      </c>
      <c r="I46">
        <v>137</v>
      </c>
      <c r="J46">
        <v>5</v>
      </c>
      <c r="K46">
        <v>685</v>
      </c>
      <c r="L46" t="s">
        <v>41</v>
      </c>
      <c r="M46" t="s">
        <v>18</v>
      </c>
      <c r="N46" t="s">
        <v>61</v>
      </c>
      <c r="O46" t="str">
        <f>IFERROR(IF(AmazonSales5[[#This Row],[Delivery Date]]="", "", IF(AmazonSales5[[#This Row],[Delivery Date]]-AmazonSales5[[#This Row],[Order Date]]&lt;=2,"Fast","Slow")),"")</f>
        <v/>
      </c>
    </row>
    <row r="47" spans="1:15" x14ac:dyDescent="0.3">
      <c r="A47" t="s">
        <v>126</v>
      </c>
      <c r="B47" s="1">
        <v>45264</v>
      </c>
      <c r="C47" s="1">
        <v>45268</v>
      </c>
      <c r="D47" s="1"/>
      <c r="E47" t="s">
        <v>127</v>
      </c>
      <c r="F47" t="str">
        <f>_xlfn.XLOOKUP(AmazonSales5[[#This Row],[Customer ID]],customerdata[Customer ID],customerdata[Customer Name],"Not Found")</f>
        <v>Logan Ramirez</v>
      </c>
      <c r="G47" t="s">
        <v>67</v>
      </c>
      <c r="H47" t="s">
        <v>16</v>
      </c>
      <c r="I47">
        <v>73</v>
      </c>
      <c r="J47">
        <v>4</v>
      </c>
      <c r="K47">
        <v>292</v>
      </c>
      <c r="L47" t="s">
        <v>24</v>
      </c>
      <c r="M47" t="s">
        <v>25</v>
      </c>
      <c r="N47" t="s">
        <v>38</v>
      </c>
      <c r="O47" t="str">
        <f>IFERROR(IF(AmazonSales5[[#This Row],[Delivery Date]]="", "", IF(AmazonSales5[[#This Row],[Delivery Date]]-AmazonSales5[[#This Row],[Order Date]]&lt;=2,"Fast","Slow")),"")</f>
        <v>Slow</v>
      </c>
    </row>
    <row r="48" spans="1:15" x14ac:dyDescent="0.3">
      <c r="A48" t="s">
        <v>128</v>
      </c>
      <c r="B48" s="1">
        <v>45124</v>
      </c>
      <c r="C48" s="1">
        <v>45126</v>
      </c>
      <c r="D48" s="1"/>
      <c r="E48" t="s">
        <v>78</v>
      </c>
      <c r="F48" t="str">
        <f>_xlfn.XLOOKUP(AmazonSales5[[#This Row],[Customer ID]],customerdata[Customer ID],customerdata[Customer Name],"Not Found")</f>
        <v>Jacob Price</v>
      </c>
      <c r="G48" t="s">
        <v>44</v>
      </c>
      <c r="H48" t="s">
        <v>16</v>
      </c>
      <c r="I48">
        <v>104</v>
      </c>
      <c r="J48">
        <v>1</v>
      </c>
      <c r="K48">
        <v>104</v>
      </c>
      <c r="L48" t="s">
        <v>33</v>
      </c>
      <c r="M48" t="s">
        <v>25</v>
      </c>
      <c r="N48" t="s">
        <v>38</v>
      </c>
      <c r="O48" t="str">
        <f>IFERROR(IF(AmazonSales5[[#This Row],[Delivery Date]]="", "", IF(AmazonSales5[[#This Row],[Delivery Date]]-AmazonSales5[[#This Row],[Order Date]]&lt;=2,"Fast","Slow")),"")</f>
        <v>Fast</v>
      </c>
    </row>
    <row r="49" spans="1:15" x14ac:dyDescent="0.3">
      <c r="A49" t="s">
        <v>129</v>
      </c>
      <c r="B49" s="1">
        <v>45218</v>
      </c>
      <c r="C49" s="1">
        <v>45223</v>
      </c>
      <c r="D49" s="1"/>
      <c r="E49" t="s">
        <v>32</v>
      </c>
      <c r="F49" t="str">
        <f>_xlfn.XLOOKUP(AmazonSales5[[#This Row],[Customer ID]],customerdata[Customer ID],customerdata[Customer Name],"Not Found")</f>
        <v>Grace Ward</v>
      </c>
      <c r="G49" t="s">
        <v>64</v>
      </c>
      <c r="H49" t="s">
        <v>23</v>
      </c>
      <c r="I49">
        <v>97</v>
      </c>
      <c r="J49">
        <v>1</v>
      </c>
      <c r="K49">
        <v>97</v>
      </c>
      <c r="L49" t="s">
        <v>41</v>
      </c>
      <c r="M49" t="s">
        <v>25</v>
      </c>
      <c r="N49" t="s">
        <v>61</v>
      </c>
      <c r="O49" t="str">
        <f>IFERROR(IF(AmazonSales5[[#This Row],[Delivery Date]]="", "", IF(AmazonSales5[[#This Row],[Delivery Date]]-AmazonSales5[[#This Row],[Order Date]]&lt;=2,"Fast","Slow")),"")</f>
        <v>Slow</v>
      </c>
    </row>
    <row r="50" spans="1:15" x14ac:dyDescent="0.3">
      <c r="A50" t="s">
        <v>130</v>
      </c>
      <c r="B50" s="1">
        <v>45061</v>
      </c>
      <c r="C50" s="1"/>
      <c r="D50" s="1"/>
      <c r="E50" t="s">
        <v>131</v>
      </c>
      <c r="F50" t="str">
        <f>_xlfn.XLOOKUP(AmazonSales5[[#This Row],[Customer ID]],customerdata[Customer ID],customerdata[Customer Name],"Not Found")</f>
        <v>Zoe Mitchell</v>
      </c>
      <c r="G50" t="s">
        <v>67</v>
      </c>
      <c r="H50" t="s">
        <v>28</v>
      </c>
      <c r="I50">
        <v>73</v>
      </c>
      <c r="J50">
        <v>5</v>
      </c>
      <c r="K50">
        <v>365</v>
      </c>
      <c r="L50" t="s">
        <v>17</v>
      </c>
      <c r="M50" t="s">
        <v>29</v>
      </c>
      <c r="N50" t="s">
        <v>38</v>
      </c>
      <c r="O50" t="str">
        <f>IFERROR(IF(AmazonSales5[[#This Row],[Delivery Date]]="", "", IF(AmazonSales5[[#This Row],[Delivery Date]]-AmazonSales5[[#This Row],[Order Date]]&lt;=2,"Fast","Slow")),"")</f>
        <v/>
      </c>
    </row>
    <row r="51" spans="1:15" x14ac:dyDescent="0.3">
      <c r="A51" t="s">
        <v>132</v>
      </c>
      <c r="B51" s="1">
        <v>44938</v>
      </c>
      <c r="C51" s="1">
        <v>44976</v>
      </c>
      <c r="D51" s="1"/>
      <c r="E51" t="s">
        <v>89</v>
      </c>
      <c r="F51" t="str">
        <f>_xlfn.XLOOKUP(AmazonSales5[[#This Row],[Customer ID]],customerdata[Customer ID],customerdata[Customer Name],"Not Found")</f>
        <v>Benjamin Clark</v>
      </c>
      <c r="G51" t="s">
        <v>69</v>
      </c>
      <c r="H51" t="s">
        <v>23</v>
      </c>
      <c r="I51">
        <v>27</v>
      </c>
      <c r="J51">
        <v>3</v>
      </c>
      <c r="K51">
        <v>81</v>
      </c>
      <c r="L51" t="s">
        <v>41</v>
      </c>
      <c r="M51" t="s">
        <v>25</v>
      </c>
      <c r="N51" t="s">
        <v>34</v>
      </c>
      <c r="O51" t="str">
        <f>IFERROR(IF(AmazonSales5[[#This Row],[Delivery Date]]="", "", IF(AmazonSales5[[#This Row],[Delivery Date]]-AmazonSales5[[#This Row],[Order Date]]&lt;=2,"Fast","Slow")),"")</f>
        <v>Slow</v>
      </c>
    </row>
    <row r="52" spans="1:15" x14ac:dyDescent="0.3">
      <c r="A52" t="s">
        <v>133</v>
      </c>
      <c r="B52" s="1">
        <v>44967</v>
      </c>
      <c r="C52" s="1"/>
      <c r="D52" s="1"/>
      <c r="E52" t="s">
        <v>78</v>
      </c>
      <c r="F52" t="str">
        <f>_xlfn.XLOOKUP(AmazonSales5[[#This Row],[Customer ID]],customerdata[Customer ID],customerdata[Customer Name],"Not Found")</f>
        <v>Jacob Price</v>
      </c>
      <c r="G52" t="s">
        <v>49</v>
      </c>
      <c r="H52" t="s">
        <v>16</v>
      </c>
      <c r="I52">
        <v>37</v>
      </c>
      <c r="J52">
        <v>1</v>
      </c>
      <c r="K52">
        <v>37</v>
      </c>
      <c r="L52" t="s">
        <v>17</v>
      </c>
      <c r="M52" t="s">
        <v>29</v>
      </c>
      <c r="N52" t="s">
        <v>34</v>
      </c>
      <c r="O52" t="str">
        <f>IFERROR(IF(AmazonSales5[[#This Row],[Delivery Date]]="", "", IF(AmazonSales5[[#This Row],[Delivery Date]]-AmazonSales5[[#This Row],[Order Date]]&lt;=2,"Fast","Slow")),"")</f>
        <v/>
      </c>
    </row>
    <row r="53" spans="1:15" x14ac:dyDescent="0.3">
      <c r="A53" t="s">
        <v>134</v>
      </c>
      <c r="B53" s="1">
        <v>44956</v>
      </c>
      <c r="C53" s="1">
        <v>44928</v>
      </c>
      <c r="D53" s="1"/>
      <c r="E53" t="s">
        <v>99</v>
      </c>
      <c r="F53" t="str">
        <f>_xlfn.XLOOKUP(AmazonSales5[[#This Row],[Customer ID]],customerdata[Customer ID],customerdata[Customer Name],"Not Found")</f>
        <v>Harper Young</v>
      </c>
      <c r="G53" t="s">
        <v>73</v>
      </c>
      <c r="H53" t="s">
        <v>16</v>
      </c>
      <c r="I53">
        <v>22</v>
      </c>
      <c r="J53">
        <v>1</v>
      </c>
      <c r="K53">
        <v>22</v>
      </c>
      <c r="L53" t="s">
        <v>46</v>
      </c>
      <c r="M53" t="s">
        <v>25</v>
      </c>
      <c r="N53" t="s">
        <v>61</v>
      </c>
      <c r="O53" t="str">
        <f>IFERROR(IF(AmazonSales5[[#This Row],[Delivery Date]]="", "", IF(AmazonSales5[[#This Row],[Delivery Date]]-AmazonSales5[[#This Row],[Order Date]]&lt;=2,"Fast","Slow")),"")</f>
        <v>Fast</v>
      </c>
    </row>
    <row r="54" spans="1:15" x14ac:dyDescent="0.3">
      <c r="A54" t="s">
        <v>135</v>
      </c>
      <c r="B54" s="1">
        <v>45289</v>
      </c>
      <c r="C54" s="1">
        <v>45292</v>
      </c>
      <c r="D54" s="1"/>
      <c r="E54" t="s">
        <v>75</v>
      </c>
      <c r="F54" t="str">
        <f>_xlfn.XLOOKUP(AmazonSales5[[#This Row],[Customer ID]],customerdata[Customer ID],customerdata[Customer Name],"Not Found")</f>
        <v>Mason Hall</v>
      </c>
      <c r="G54" t="s">
        <v>111</v>
      </c>
      <c r="H54" t="s">
        <v>45</v>
      </c>
      <c r="I54">
        <v>218</v>
      </c>
      <c r="J54">
        <v>5</v>
      </c>
      <c r="K54">
        <v>1090</v>
      </c>
      <c r="L54" t="s">
        <v>33</v>
      </c>
      <c r="M54" t="s">
        <v>25</v>
      </c>
      <c r="N54" t="s">
        <v>19</v>
      </c>
      <c r="O54" t="str">
        <f>IFERROR(IF(AmazonSales5[[#This Row],[Delivery Date]]="", "", IF(AmazonSales5[[#This Row],[Delivery Date]]-AmazonSales5[[#This Row],[Order Date]]&lt;=2,"Fast","Slow")),"")</f>
        <v>Slow</v>
      </c>
    </row>
    <row r="55" spans="1:15" x14ac:dyDescent="0.3">
      <c r="A55" t="s">
        <v>136</v>
      </c>
      <c r="B55" s="1">
        <v>44991</v>
      </c>
      <c r="C55" s="1"/>
      <c r="D55" s="1">
        <v>44998</v>
      </c>
      <c r="E55" t="s">
        <v>94</v>
      </c>
      <c r="F55" t="str">
        <f>_xlfn.XLOOKUP(AmazonSales5[[#This Row],[Customer ID]],customerdata[Customer ID],customerdata[Customer Name],"Not Found")</f>
        <v>Grace Scott</v>
      </c>
      <c r="G55" t="s">
        <v>119</v>
      </c>
      <c r="H55" t="s">
        <v>16</v>
      </c>
      <c r="I55">
        <v>64</v>
      </c>
      <c r="J55">
        <v>1</v>
      </c>
      <c r="K55">
        <v>64</v>
      </c>
      <c r="L55" t="s">
        <v>17</v>
      </c>
      <c r="M55" t="s">
        <v>18</v>
      </c>
      <c r="N55" t="s">
        <v>30</v>
      </c>
      <c r="O55" t="str">
        <f>IFERROR(IF(AmazonSales5[[#This Row],[Delivery Date]]="", "", IF(AmazonSales5[[#This Row],[Delivery Date]]-AmazonSales5[[#This Row],[Order Date]]&lt;=2,"Fast","Slow")),"")</f>
        <v/>
      </c>
    </row>
    <row r="56" spans="1:15" x14ac:dyDescent="0.3">
      <c r="A56" t="s">
        <v>137</v>
      </c>
      <c r="B56" s="1">
        <v>44959</v>
      </c>
      <c r="C56" s="1">
        <v>45079</v>
      </c>
      <c r="D56" s="1"/>
      <c r="E56" t="s">
        <v>103</v>
      </c>
      <c r="F56" t="str">
        <f>_xlfn.XLOOKUP(AmazonSales5[[#This Row],[Customer ID]],customerdata[Customer ID],customerdata[Customer Name],"Not Found")</f>
        <v>Emily Johnson</v>
      </c>
      <c r="G56" t="s">
        <v>49</v>
      </c>
      <c r="H56" t="s">
        <v>45</v>
      </c>
      <c r="I56">
        <v>36</v>
      </c>
      <c r="J56">
        <v>4</v>
      </c>
      <c r="K56">
        <v>144</v>
      </c>
      <c r="L56" t="s">
        <v>33</v>
      </c>
      <c r="M56" t="s">
        <v>25</v>
      </c>
      <c r="N56" t="s">
        <v>38</v>
      </c>
      <c r="O56" t="str">
        <f>IFERROR(IF(AmazonSales5[[#This Row],[Delivery Date]]="", "", IF(AmazonSales5[[#This Row],[Delivery Date]]-AmazonSales5[[#This Row],[Order Date]]&lt;=2,"Fast","Slow")),"")</f>
        <v>Slow</v>
      </c>
    </row>
    <row r="57" spans="1:15" x14ac:dyDescent="0.3">
      <c r="A57" t="s">
        <v>138</v>
      </c>
      <c r="B57" s="1">
        <v>45217</v>
      </c>
      <c r="C57" s="1">
        <v>45220</v>
      </c>
      <c r="D57" s="1"/>
      <c r="E57" t="s">
        <v>139</v>
      </c>
      <c r="F57" t="str">
        <f>_xlfn.XLOOKUP(AmazonSales5[[#This Row],[Customer ID]],customerdata[Customer ID],customerdata[Customer Name],"Not Found")</f>
        <v>Emma King</v>
      </c>
      <c r="G57" t="s">
        <v>119</v>
      </c>
      <c r="H57" t="s">
        <v>50</v>
      </c>
      <c r="I57">
        <v>65</v>
      </c>
      <c r="J57">
        <v>1</v>
      </c>
      <c r="K57">
        <v>65</v>
      </c>
      <c r="L57" t="s">
        <v>41</v>
      </c>
      <c r="M57" t="s">
        <v>25</v>
      </c>
      <c r="N57" t="s">
        <v>61</v>
      </c>
      <c r="O57" t="str">
        <f>IFERROR(IF(AmazonSales5[[#This Row],[Delivery Date]]="", "", IF(AmazonSales5[[#This Row],[Delivery Date]]-AmazonSales5[[#This Row],[Order Date]]&lt;=2,"Fast","Slow")),"")</f>
        <v>Slow</v>
      </c>
    </row>
    <row r="58" spans="1:15" x14ac:dyDescent="0.3">
      <c r="A58" t="s">
        <v>140</v>
      </c>
      <c r="B58" s="1">
        <v>45108</v>
      </c>
      <c r="C58" s="1">
        <v>45170</v>
      </c>
      <c r="D58" s="1"/>
      <c r="E58" t="s">
        <v>80</v>
      </c>
      <c r="F58" t="str">
        <f>_xlfn.XLOOKUP(AmazonSales5[[#This Row],[Customer ID]],customerdata[Customer ID],customerdata[Customer Name],"Not Found")</f>
        <v>Emma King</v>
      </c>
      <c r="G58" t="s">
        <v>69</v>
      </c>
      <c r="H58" t="s">
        <v>45</v>
      </c>
      <c r="I58">
        <v>26</v>
      </c>
      <c r="J58">
        <v>1</v>
      </c>
      <c r="K58">
        <v>26</v>
      </c>
      <c r="L58" t="s">
        <v>17</v>
      </c>
      <c r="M58" t="s">
        <v>25</v>
      </c>
      <c r="N58" t="s">
        <v>19</v>
      </c>
      <c r="O58" t="str">
        <f>IFERROR(IF(AmazonSales5[[#This Row],[Delivery Date]]="", "", IF(AmazonSales5[[#This Row],[Delivery Date]]-AmazonSales5[[#This Row],[Order Date]]&lt;=2,"Fast","Slow")),"")</f>
        <v>Slow</v>
      </c>
    </row>
    <row r="59" spans="1:15" x14ac:dyDescent="0.3">
      <c r="A59" t="s">
        <v>141</v>
      </c>
      <c r="B59" s="1">
        <v>45143</v>
      </c>
      <c r="C59" s="1"/>
      <c r="D59" s="1"/>
      <c r="E59" t="s">
        <v>14</v>
      </c>
      <c r="F59" t="str">
        <f>_xlfn.XLOOKUP(AmazonSales5[[#This Row],[Customer ID]],customerdata[Customer ID],customerdata[Customer Name],"Not Found")</f>
        <v>Zoe Mitchell</v>
      </c>
      <c r="G59" t="s">
        <v>104</v>
      </c>
      <c r="H59" t="s">
        <v>16</v>
      </c>
      <c r="I59">
        <v>11</v>
      </c>
      <c r="J59">
        <v>5</v>
      </c>
      <c r="K59">
        <v>55</v>
      </c>
      <c r="L59" t="s">
        <v>24</v>
      </c>
      <c r="M59" t="s">
        <v>29</v>
      </c>
      <c r="N59" t="s">
        <v>61</v>
      </c>
      <c r="O59" t="str">
        <f>IFERROR(IF(AmazonSales5[[#This Row],[Delivery Date]]="", "", IF(AmazonSales5[[#This Row],[Delivery Date]]-AmazonSales5[[#This Row],[Order Date]]&lt;=2,"Fast","Slow")),"")</f>
        <v/>
      </c>
    </row>
    <row r="60" spans="1:15" x14ac:dyDescent="0.3">
      <c r="A60" t="s">
        <v>142</v>
      </c>
      <c r="B60" s="1">
        <v>44961</v>
      </c>
      <c r="C60" s="1"/>
      <c r="D60" s="1">
        <v>45050</v>
      </c>
      <c r="E60" t="s">
        <v>143</v>
      </c>
      <c r="F60" t="str">
        <f>_xlfn.XLOOKUP(AmazonSales5[[#This Row],[Customer ID]],customerdata[Customer ID],customerdata[Customer Name],"Not Found")</f>
        <v>Ethan Davis</v>
      </c>
      <c r="G60" t="s">
        <v>27</v>
      </c>
      <c r="H60" t="s">
        <v>16</v>
      </c>
      <c r="I60">
        <v>195</v>
      </c>
      <c r="J60">
        <v>4</v>
      </c>
      <c r="K60">
        <v>780</v>
      </c>
      <c r="L60" t="s">
        <v>33</v>
      </c>
      <c r="M60" t="s">
        <v>18</v>
      </c>
      <c r="N60" t="s">
        <v>61</v>
      </c>
      <c r="O60" t="str">
        <f>IFERROR(IF(AmazonSales5[[#This Row],[Delivery Date]]="", "", IF(AmazonSales5[[#This Row],[Delivery Date]]-AmazonSales5[[#This Row],[Order Date]]&lt;=2,"Fast","Slow")),"")</f>
        <v/>
      </c>
    </row>
    <row r="61" spans="1:15" x14ac:dyDescent="0.3">
      <c r="A61" t="s">
        <v>144</v>
      </c>
      <c r="B61" s="1">
        <v>45240</v>
      </c>
      <c r="C61" s="1"/>
      <c r="D61" s="1">
        <v>45270</v>
      </c>
      <c r="E61" t="s">
        <v>48</v>
      </c>
      <c r="F61" t="str">
        <f>_xlfn.XLOOKUP(AmazonSales5[[#This Row],[Customer ID]],customerdata[Customer ID],customerdata[Customer Name],"Not Found")</f>
        <v>Ava Robinson</v>
      </c>
      <c r="G61" t="s">
        <v>53</v>
      </c>
      <c r="H61" t="s">
        <v>50</v>
      </c>
      <c r="I61">
        <v>44</v>
      </c>
      <c r="J61">
        <v>5</v>
      </c>
      <c r="K61">
        <v>220</v>
      </c>
      <c r="L61" t="s">
        <v>17</v>
      </c>
      <c r="M61" t="s">
        <v>18</v>
      </c>
      <c r="N61" t="s">
        <v>30</v>
      </c>
      <c r="O61" t="str">
        <f>IFERROR(IF(AmazonSales5[[#This Row],[Delivery Date]]="", "", IF(AmazonSales5[[#This Row],[Delivery Date]]-AmazonSales5[[#This Row],[Order Date]]&lt;=2,"Fast","Slow")),"")</f>
        <v/>
      </c>
    </row>
    <row r="62" spans="1:15" x14ac:dyDescent="0.3">
      <c r="A62" t="s">
        <v>145</v>
      </c>
      <c r="B62" s="1">
        <v>45208</v>
      </c>
      <c r="C62" s="1"/>
      <c r="D62" s="1"/>
      <c r="E62" t="s">
        <v>146</v>
      </c>
      <c r="F62" t="str">
        <f>_xlfn.XLOOKUP(AmazonSales5[[#This Row],[Customer ID]],customerdata[Customer ID],customerdata[Customer Name],"Not Found")</f>
        <v>Scarlett Adams</v>
      </c>
      <c r="G62" t="s">
        <v>76</v>
      </c>
      <c r="H62" t="s">
        <v>23</v>
      </c>
      <c r="I62">
        <v>69</v>
      </c>
      <c r="J62">
        <v>4</v>
      </c>
      <c r="K62">
        <v>276</v>
      </c>
      <c r="L62" t="s">
        <v>46</v>
      </c>
      <c r="M62" t="s">
        <v>29</v>
      </c>
      <c r="N62" t="s">
        <v>19</v>
      </c>
      <c r="O62" t="str">
        <f>IFERROR(IF(AmazonSales5[[#This Row],[Delivery Date]]="", "", IF(AmazonSales5[[#This Row],[Delivery Date]]-AmazonSales5[[#This Row],[Order Date]]&lt;=2,"Fast","Slow")),"")</f>
        <v/>
      </c>
    </row>
    <row r="63" spans="1:15" x14ac:dyDescent="0.3">
      <c r="A63" t="s">
        <v>147</v>
      </c>
      <c r="B63" s="1">
        <v>45252</v>
      </c>
      <c r="C63" s="1">
        <v>45259</v>
      </c>
      <c r="D63" s="1"/>
      <c r="E63" t="s">
        <v>148</v>
      </c>
      <c r="F63" t="str">
        <f>_xlfn.XLOOKUP(AmazonSales5[[#This Row],[Customer ID]],customerdata[Customer ID],customerdata[Customer Name],"Not Found")</f>
        <v>Elijah Lewis</v>
      </c>
      <c r="G63" t="s">
        <v>81</v>
      </c>
      <c r="H63" t="s">
        <v>16</v>
      </c>
      <c r="I63">
        <v>815</v>
      </c>
      <c r="J63">
        <v>4</v>
      </c>
      <c r="K63">
        <v>3260</v>
      </c>
      <c r="L63" t="s">
        <v>24</v>
      </c>
      <c r="M63" t="s">
        <v>25</v>
      </c>
      <c r="N63" t="s">
        <v>30</v>
      </c>
      <c r="O63" t="str">
        <f>IFERROR(IF(AmazonSales5[[#This Row],[Delivery Date]]="", "", IF(AmazonSales5[[#This Row],[Delivery Date]]-AmazonSales5[[#This Row],[Order Date]]&lt;=2,"Fast","Slow")),"")</f>
        <v>Slow</v>
      </c>
    </row>
    <row r="64" spans="1:15" x14ac:dyDescent="0.3">
      <c r="A64" t="s">
        <v>149</v>
      </c>
      <c r="B64" s="1">
        <v>44962</v>
      </c>
      <c r="C64" s="1"/>
      <c r="D64" s="1"/>
      <c r="E64" t="s">
        <v>150</v>
      </c>
      <c r="F64" t="str">
        <f>_xlfn.XLOOKUP(AmazonSales5[[#This Row],[Customer ID]],customerdata[Customer ID],customerdata[Customer Name],"Not Found")</f>
        <v>Noah Wilson</v>
      </c>
      <c r="G64" t="s">
        <v>69</v>
      </c>
      <c r="H64" t="s">
        <v>23</v>
      </c>
      <c r="I64">
        <v>27</v>
      </c>
      <c r="J64">
        <v>1</v>
      </c>
      <c r="K64">
        <v>27</v>
      </c>
      <c r="L64" t="s">
        <v>46</v>
      </c>
      <c r="M64" t="s">
        <v>29</v>
      </c>
      <c r="N64" t="s">
        <v>38</v>
      </c>
      <c r="O64" t="str">
        <f>IFERROR(IF(AmazonSales5[[#This Row],[Delivery Date]]="", "", IF(AmazonSales5[[#This Row],[Delivery Date]]-AmazonSales5[[#This Row],[Order Date]]&lt;=2,"Fast","Slow")),"")</f>
        <v/>
      </c>
    </row>
    <row r="65" spans="1:15" x14ac:dyDescent="0.3">
      <c r="A65" t="s">
        <v>151</v>
      </c>
      <c r="B65" s="1">
        <v>44938</v>
      </c>
      <c r="C65" s="1">
        <v>45289</v>
      </c>
      <c r="D65" s="1"/>
      <c r="E65" t="s">
        <v>152</v>
      </c>
      <c r="F65" t="str">
        <f>_xlfn.XLOOKUP(AmazonSales5[[#This Row],[Customer ID]],customerdata[Customer ID],customerdata[Customer Name],"Not Found")</f>
        <v>Noah Wilson</v>
      </c>
      <c r="G65" t="s">
        <v>55</v>
      </c>
      <c r="H65" t="s">
        <v>50</v>
      </c>
      <c r="I65">
        <v>139</v>
      </c>
      <c r="J65">
        <v>5</v>
      </c>
      <c r="K65">
        <v>695</v>
      </c>
      <c r="L65" t="s">
        <v>17</v>
      </c>
      <c r="M65" t="s">
        <v>25</v>
      </c>
      <c r="N65" t="s">
        <v>30</v>
      </c>
      <c r="O65" t="str">
        <f>IFERROR(IF(AmazonSales5[[#This Row],[Delivery Date]]="", "", IF(AmazonSales5[[#This Row],[Delivery Date]]-AmazonSales5[[#This Row],[Order Date]]&lt;=2,"Fast","Slow")),"")</f>
        <v>Slow</v>
      </c>
    </row>
    <row r="66" spans="1:15" x14ac:dyDescent="0.3">
      <c r="A66" t="s">
        <v>153</v>
      </c>
      <c r="B66" s="1">
        <v>45217</v>
      </c>
      <c r="C66" s="1"/>
      <c r="D66" s="1">
        <v>45219</v>
      </c>
      <c r="E66" t="s">
        <v>40</v>
      </c>
      <c r="F66" t="str">
        <f>_xlfn.XLOOKUP(AmazonSales5[[#This Row],[Customer ID]],customerdata[Customer ID],customerdata[Customer Name],"Not Found")</f>
        <v>Jackson Allen</v>
      </c>
      <c r="G66" t="s">
        <v>76</v>
      </c>
      <c r="H66" t="s">
        <v>28</v>
      </c>
      <c r="I66">
        <v>69</v>
      </c>
      <c r="J66">
        <v>3</v>
      </c>
      <c r="K66">
        <v>207</v>
      </c>
      <c r="L66" t="s">
        <v>33</v>
      </c>
      <c r="M66" t="s">
        <v>18</v>
      </c>
      <c r="N66" t="s">
        <v>38</v>
      </c>
      <c r="O66" t="str">
        <f>IFERROR(IF(AmazonSales5[[#This Row],[Delivery Date]]="", "", IF(AmazonSales5[[#This Row],[Delivery Date]]-AmazonSales5[[#This Row],[Order Date]]&lt;=2,"Fast","Slow")),"")</f>
        <v/>
      </c>
    </row>
    <row r="67" spans="1:15" x14ac:dyDescent="0.3">
      <c r="A67" t="s">
        <v>154</v>
      </c>
      <c r="B67" s="1">
        <v>45066</v>
      </c>
      <c r="C67" s="1"/>
      <c r="D67" s="1">
        <v>45067</v>
      </c>
      <c r="E67" t="s">
        <v>40</v>
      </c>
      <c r="F67" t="str">
        <f>_xlfn.XLOOKUP(AmazonSales5[[#This Row],[Customer ID]],customerdata[Customer ID],customerdata[Customer Name],"Not Found")</f>
        <v>Jackson Allen</v>
      </c>
      <c r="G67" t="s">
        <v>53</v>
      </c>
      <c r="H67" t="s">
        <v>50</v>
      </c>
      <c r="I67">
        <v>42</v>
      </c>
      <c r="J67">
        <v>1</v>
      </c>
      <c r="K67">
        <v>42</v>
      </c>
      <c r="L67" t="s">
        <v>17</v>
      </c>
      <c r="M67" t="s">
        <v>18</v>
      </c>
      <c r="N67" t="s">
        <v>19</v>
      </c>
      <c r="O67" t="str">
        <f>IFERROR(IF(AmazonSales5[[#This Row],[Delivery Date]]="", "", IF(AmazonSales5[[#This Row],[Delivery Date]]-AmazonSales5[[#This Row],[Order Date]]&lt;=2,"Fast","Slow")),"")</f>
        <v/>
      </c>
    </row>
    <row r="68" spans="1:15" x14ac:dyDescent="0.3">
      <c r="A68" t="s">
        <v>155</v>
      </c>
      <c r="B68" s="1">
        <v>45135</v>
      </c>
      <c r="C68" s="1">
        <v>45137</v>
      </c>
      <c r="D68" s="1"/>
      <c r="E68" t="s">
        <v>156</v>
      </c>
      <c r="F68" t="str">
        <f>_xlfn.XLOOKUP(AmazonSales5[[#This Row],[Customer ID]],customerdata[Customer ID],customerdata[Customer Name],"Not Found")</f>
        <v>Not Found</v>
      </c>
      <c r="G68" t="s">
        <v>114</v>
      </c>
      <c r="H68" t="s">
        <v>16</v>
      </c>
      <c r="I68">
        <v>31</v>
      </c>
      <c r="J68">
        <v>4</v>
      </c>
      <c r="K68">
        <v>124</v>
      </c>
      <c r="L68" t="s">
        <v>24</v>
      </c>
      <c r="M68" t="s">
        <v>25</v>
      </c>
      <c r="N68" t="s">
        <v>34</v>
      </c>
      <c r="O68" t="str">
        <f>IFERROR(IF(AmazonSales5[[#This Row],[Delivery Date]]="", "", IF(AmazonSales5[[#This Row],[Delivery Date]]-AmazonSales5[[#This Row],[Order Date]]&lt;=2,"Fast","Slow")),"")</f>
        <v>Fast</v>
      </c>
    </row>
    <row r="69" spans="1:15" x14ac:dyDescent="0.3">
      <c r="A69" t="s">
        <v>157</v>
      </c>
      <c r="B69" s="1">
        <v>45278</v>
      </c>
      <c r="C69" s="1"/>
      <c r="D69" s="1"/>
      <c r="E69" t="s">
        <v>60</v>
      </c>
      <c r="F69" t="str">
        <f>_xlfn.XLOOKUP(AmazonSales5[[#This Row],[Customer ID]],customerdata[Customer ID],customerdata[Customer Name],"Not Found")</f>
        <v>Emily Johnson</v>
      </c>
      <c r="G69" t="s">
        <v>44</v>
      </c>
      <c r="H69" t="s">
        <v>50</v>
      </c>
      <c r="I69">
        <v>104</v>
      </c>
      <c r="J69">
        <v>3</v>
      </c>
      <c r="K69">
        <v>312</v>
      </c>
      <c r="L69" t="s">
        <v>24</v>
      </c>
      <c r="M69" t="s">
        <v>29</v>
      </c>
      <c r="N69" t="s">
        <v>34</v>
      </c>
      <c r="O69" t="str">
        <f>IFERROR(IF(AmazonSales5[[#This Row],[Delivery Date]]="", "", IF(AmazonSales5[[#This Row],[Delivery Date]]-AmazonSales5[[#This Row],[Order Date]]&lt;=2,"Fast","Slow")),"")</f>
        <v/>
      </c>
    </row>
    <row r="70" spans="1:15" x14ac:dyDescent="0.3">
      <c r="A70" t="s">
        <v>158</v>
      </c>
      <c r="B70" s="1">
        <v>44964</v>
      </c>
      <c r="C70" s="1"/>
      <c r="D70" s="1">
        <v>45114</v>
      </c>
      <c r="E70" t="s">
        <v>32</v>
      </c>
      <c r="F70" t="str">
        <f>_xlfn.XLOOKUP(AmazonSales5[[#This Row],[Customer ID]],customerdata[Customer ID],customerdata[Customer Name],"Not Found")</f>
        <v>Grace Ward</v>
      </c>
      <c r="G70" t="s">
        <v>37</v>
      </c>
      <c r="H70" t="s">
        <v>23</v>
      </c>
      <c r="I70">
        <v>58</v>
      </c>
      <c r="J70">
        <v>2</v>
      </c>
      <c r="K70">
        <v>116</v>
      </c>
      <c r="L70" t="s">
        <v>17</v>
      </c>
      <c r="M70" t="s">
        <v>18</v>
      </c>
      <c r="N70" t="s">
        <v>30</v>
      </c>
      <c r="O70" t="str">
        <f>IFERROR(IF(AmazonSales5[[#This Row],[Delivery Date]]="", "", IF(AmazonSales5[[#This Row],[Delivery Date]]-AmazonSales5[[#This Row],[Order Date]]&lt;=2,"Fast","Slow")),"")</f>
        <v/>
      </c>
    </row>
    <row r="71" spans="1:15" x14ac:dyDescent="0.3">
      <c r="A71" t="s">
        <v>159</v>
      </c>
      <c r="B71" s="1">
        <v>45179</v>
      </c>
      <c r="C71" s="1"/>
      <c r="D71" s="1">
        <v>45209</v>
      </c>
      <c r="E71" t="s">
        <v>40</v>
      </c>
      <c r="F71" t="str">
        <f>_xlfn.XLOOKUP(AmazonSales5[[#This Row],[Customer ID]],customerdata[Customer ID],customerdata[Customer Name],"Not Found")</f>
        <v>Jackson Allen</v>
      </c>
      <c r="G71" t="s">
        <v>119</v>
      </c>
      <c r="H71" t="s">
        <v>50</v>
      </c>
      <c r="I71">
        <v>62</v>
      </c>
      <c r="J71">
        <v>2</v>
      </c>
      <c r="K71">
        <v>124</v>
      </c>
      <c r="L71" t="s">
        <v>46</v>
      </c>
      <c r="M71" t="s">
        <v>18</v>
      </c>
      <c r="N71" t="s">
        <v>19</v>
      </c>
      <c r="O71" t="str">
        <f>IFERROR(IF(AmazonSales5[[#This Row],[Delivery Date]]="", "", IF(AmazonSales5[[#This Row],[Delivery Date]]-AmazonSales5[[#This Row],[Order Date]]&lt;=2,"Fast","Slow")),"")</f>
        <v/>
      </c>
    </row>
    <row r="72" spans="1:15" x14ac:dyDescent="0.3">
      <c r="A72" t="s">
        <v>160</v>
      </c>
      <c r="B72" s="1">
        <v>45278</v>
      </c>
      <c r="C72" s="1">
        <v>45285</v>
      </c>
      <c r="D72" s="1"/>
      <c r="E72" t="s">
        <v>118</v>
      </c>
      <c r="F72" t="str">
        <f>_xlfn.XLOOKUP(AmazonSales5[[#This Row],[Customer ID]],customerdata[Customer ID],customerdata[Customer Name],"Not Found")</f>
        <v>Ava Robinson</v>
      </c>
      <c r="G72" t="s">
        <v>53</v>
      </c>
      <c r="H72" t="s">
        <v>23</v>
      </c>
      <c r="I72">
        <v>43</v>
      </c>
      <c r="J72">
        <v>1</v>
      </c>
      <c r="K72">
        <v>43</v>
      </c>
      <c r="L72" t="s">
        <v>24</v>
      </c>
      <c r="M72" t="s">
        <v>25</v>
      </c>
      <c r="N72" t="s">
        <v>38</v>
      </c>
      <c r="O72" t="str">
        <f>IFERROR(IF(AmazonSales5[[#This Row],[Delivery Date]]="", "", IF(AmazonSales5[[#This Row],[Delivery Date]]-AmazonSales5[[#This Row],[Order Date]]&lt;=2,"Fast","Slow")),"")</f>
        <v>Slow</v>
      </c>
    </row>
    <row r="73" spans="1:15" x14ac:dyDescent="0.3">
      <c r="A73" t="s">
        <v>161</v>
      </c>
      <c r="B73" s="1">
        <v>45110</v>
      </c>
      <c r="C73" s="1"/>
      <c r="D73" s="1"/>
      <c r="E73" t="s">
        <v>148</v>
      </c>
      <c r="F73" t="str">
        <f>_xlfn.XLOOKUP(AmazonSales5[[#This Row],[Customer ID]],customerdata[Customer ID],customerdata[Customer Name],"Not Found")</f>
        <v>Elijah Lewis</v>
      </c>
      <c r="G73" t="s">
        <v>119</v>
      </c>
      <c r="H73" t="s">
        <v>23</v>
      </c>
      <c r="I73">
        <v>62</v>
      </c>
      <c r="J73">
        <v>4</v>
      </c>
      <c r="K73">
        <v>248</v>
      </c>
      <c r="L73" t="s">
        <v>46</v>
      </c>
      <c r="M73" t="s">
        <v>29</v>
      </c>
      <c r="N73" t="s">
        <v>38</v>
      </c>
      <c r="O73" t="str">
        <f>IFERROR(IF(AmazonSales5[[#This Row],[Delivery Date]]="", "", IF(AmazonSales5[[#This Row],[Delivery Date]]-AmazonSales5[[#This Row],[Order Date]]&lt;=2,"Fast","Slow")),"")</f>
        <v/>
      </c>
    </row>
    <row r="74" spans="1:15" x14ac:dyDescent="0.3">
      <c r="A74" t="s">
        <v>162</v>
      </c>
      <c r="B74" s="1">
        <v>45129</v>
      </c>
      <c r="C74" s="1"/>
      <c r="D74" s="1">
        <v>45132</v>
      </c>
      <c r="E74" t="s">
        <v>87</v>
      </c>
      <c r="F74" t="str">
        <f>_xlfn.XLOOKUP(AmazonSales5[[#This Row],[Customer ID]],customerdata[Customer ID],customerdata[Customer Name],"Not Found")</f>
        <v>Lily Bennett</v>
      </c>
      <c r="G74" t="s">
        <v>64</v>
      </c>
      <c r="H74" t="s">
        <v>16</v>
      </c>
      <c r="I74">
        <v>95</v>
      </c>
      <c r="J74">
        <v>2</v>
      </c>
      <c r="K74">
        <v>190</v>
      </c>
      <c r="L74" t="s">
        <v>33</v>
      </c>
      <c r="M74" t="s">
        <v>18</v>
      </c>
      <c r="N74" t="s">
        <v>34</v>
      </c>
      <c r="O74" t="str">
        <f>IFERROR(IF(AmazonSales5[[#This Row],[Delivery Date]]="", "", IF(AmazonSales5[[#This Row],[Delivery Date]]-AmazonSales5[[#This Row],[Order Date]]&lt;=2,"Fast","Slow")),"")</f>
        <v/>
      </c>
    </row>
    <row r="75" spans="1:15" x14ac:dyDescent="0.3">
      <c r="A75" t="s">
        <v>163</v>
      </c>
      <c r="B75" s="1">
        <v>44944</v>
      </c>
      <c r="C75" s="1">
        <v>44950</v>
      </c>
      <c r="D75" s="1"/>
      <c r="E75" t="s">
        <v>85</v>
      </c>
      <c r="F75" t="str">
        <f>_xlfn.XLOOKUP(AmazonSales5[[#This Row],[Customer ID]],customerdata[Customer ID],customerdata[Customer Name],"Not Found")</f>
        <v>Elijah Lewis</v>
      </c>
      <c r="G75" t="s">
        <v>49</v>
      </c>
      <c r="H75" t="s">
        <v>45</v>
      </c>
      <c r="I75">
        <v>36</v>
      </c>
      <c r="J75">
        <v>4</v>
      </c>
      <c r="K75">
        <v>144</v>
      </c>
      <c r="L75" t="s">
        <v>17</v>
      </c>
      <c r="M75" t="s">
        <v>25</v>
      </c>
      <c r="N75" t="s">
        <v>61</v>
      </c>
      <c r="O75" t="str">
        <f>IFERROR(IF(AmazonSales5[[#This Row],[Delivery Date]]="", "", IF(AmazonSales5[[#This Row],[Delivery Date]]-AmazonSales5[[#This Row],[Order Date]]&lt;=2,"Fast","Slow")),"")</f>
        <v>Slow</v>
      </c>
    </row>
    <row r="76" spans="1:15" x14ac:dyDescent="0.3">
      <c r="A76" t="s">
        <v>164</v>
      </c>
      <c r="B76" s="1">
        <v>45070</v>
      </c>
      <c r="C76" s="1"/>
      <c r="D76" s="1"/>
      <c r="E76" t="s">
        <v>43</v>
      </c>
      <c r="F76" t="str">
        <f>_xlfn.XLOOKUP(AmazonSales5[[#This Row],[Customer ID]],customerdata[Customer ID],customerdata[Customer Name],"Not Found")</f>
        <v>Noah Wilson</v>
      </c>
      <c r="G76" t="s">
        <v>67</v>
      </c>
      <c r="H76" t="s">
        <v>23</v>
      </c>
      <c r="I76">
        <v>73</v>
      </c>
      <c r="J76">
        <v>5</v>
      </c>
      <c r="K76">
        <v>365</v>
      </c>
      <c r="L76" t="s">
        <v>17</v>
      </c>
      <c r="M76" t="s">
        <v>29</v>
      </c>
      <c r="N76" t="s">
        <v>19</v>
      </c>
      <c r="O76" t="str">
        <f>IFERROR(IF(AmazonSales5[[#This Row],[Delivery Date]]="", "", IF(AmazonSales5[[#This Row],[Delivery Date]]-AmazonSales5[[#This Row],[Order Date]]&lt;=2,"Fast","Slow")),"")</f>
        <v/>
      </c>
    </row>
    <row r="77" spans="1:15" x14ac:dyDescent="0.3">
      <c r="A77" t="s">
        <v>165</v>
      </c>
      <c r="B77" s="1">
        <v>44994</v>
      </c>
      <c r="C77" s="1">
        <v>45178</v>
      </c>
      <c r="D77" s="1"/>
      <c r="E77" t="s">
        <v>63</v>
      </c>
      <c r="F77" t="str">
        <f>_xlfn.XLOOKUP(AmazonSales5[[#This Row],[Customer ID]],customerdata[Customer ID],customerdata[Customer Name],"Not Found")</f>
        <v>Charlotte Reed</v>
      </c>
      <c r="G77" t="s">
        <v>53</v>
      </c>
      <c r="H77" t="s">
        <v>16</v>
      </c>
      <c r="I77">
        <v>43</v>
      </c>
      <c r="J77">
        <v>4</v>
      </c>
      <c r="K77">
        <v>172</v>
      </c>
      <c r="L77" t="s">
        <v>46</v>
      </c>
      <c r="M77" t="s">
        <v>25</v>
      </c>
      <c r="N77" t="s">
        <v>19</v>
      </c>
      <c r="O77" t="str">
        <f>IFERROR(IF(AmazonSales5[[#This Row],[Delivery Date]]="", "", IF(AmazonSales5[[#This Row],[Delivery Date]]-AmazonSales5[[#This Row],[Order Date]]&lt;=2,"Fast","Slow")),"")</f>
        <v>Slow</v>
      </c>
    </row>
    <row r="78" spans="1:15" x14ac:dyDescent="0.3">
      <c r="A78" t="s">
        <v>166</v>
      </c>
      <c r="B78" s="1">
        <v>45232</v>
      </c>
      <c r="C78" s="1">
        <v>45234</v>
      </c>
      <c r="D78" s="1"/>
      <c r="E78" t="s">
        <v>150</v>
      </c>
      <c r="F78" t="str">
        <f>_xlfn.XLOOKUP(AmazonSales5[[#This Row],[Customer ID]],customerdata[Customer ID],customerdata[Customer Name],"Not Found")</f>
        <v>Noah Wilson</v>
      </c>
      <c r="G78" t="s">
        <v>111</v>
      </c>
      <c r="H78" t="s">
        <v>50</v>
      </c>
      <c r="I78">
        <v>214</v>
      </c>
      <c r="J78">
        <v>5</v>
      </c>
      <c r="K78">
        <v>1070</v>
      </c>
      <c r="L78" t="s">
        <v>46</v>
      </c>
      <c r="M78" t="s">
        <v>25</v>
      </c>
      <c r="N78" t="s">
        <v>34</v>
      </c>
      <c r="O78" t="str">
        <f>IFERROR(IF(AmazonSales5[[#This Row],[Delivery Date]]="", "", IF(AmazonSales5[[#This Row],[Delivery Date]]-AmazonSales5[[#This Row],[Order Date]]&lt;=2,"Fast","Slow")),"")</f>
        <v>Fast</v>
      </c>
    </row>
    <row r="79" spans="1:15" x14ac:dyDescent="0.3">
      <c r="A79" t="s">
        <v>167</v>
      </c>
      <c r="B79" s="1">
        <v>44997</v>
      </c>
      <c r="C79" s="1"/>
      <c r="D79" s="1">
        <v>45089</v>
      </c>
      <c r="E79" t="s">
        <v>152</v>
      </c>
      <c r="F79" t="str">
        <f>_xlfn.XLOOKUP(AmazonSales5[[#This Row],[Customer ID]],customerdata[Customer ID],customerdata[Customer Name],"Not Found")</f>
        <v>Noah Wilson</v>
      </c>
      <c r="G79" t="s">
        <v>90</v>
      </c>
      <c r="H79" t="s">
        <v>45</v>
      </c>
      <c r="I79">
        <v>42</v>
      </c>
      <c r="J79">
        <v>2</v>
      </c>
      <c r="K79">
        <v>84</v>
      </c>
      <c r="L79" t="s">
        <v>17</v>
      </c>
      <c r="M79" t="s">
        <v>18</v>
      </c>
      <c r="N79" t="s">
        <v>34</v>
      </c>
      <c r="O79" t="str">
        <f>IFERROR(IF(AmazonSales5[[#This Row],[Delivery Date]]="", "", IF(AmazonSales5[[#This Row],[Delivery Date]]-AmazonSales5[[#This Row],[Order Date]]&lt;=2,"Fast","Slow")),"")</f>
        <v/>
      </c>
    </row>
    <row r="80" spans="1:15" x14ac:dyDescent="0.3">
      <c r="A80" t="s">
        <v>168</v>
      </c>
      <c r="B80" s="1">
        <v>44930</v>
      </c>
      <c r="C80" s="1"/>
      <c r="D80" s="1"/>
      <c r="E80" t="s">
        <v>152</v>
      </c>
      <c r="F80" t="str">
        <f>_xlfn.XLOOKUP(AmazonSales5[[#This Row],[Customer ID]],customerdata[Customer ID],customerdata[Customer Name],"Not Found")</f>
        <v>Noah Wilson</v>
      </c>
      <c r="G80" t="s">
        <v>15</v>
      </c>
      <c r="H80" t="s">
        <v>16</v>
      </c>
      <c r="I80">
        <v>46</v>
      </c>
      <c r="J80">
        <v>1</v>
      </c>
      <c r="K80">
        <v>46</v>
      </c>
      <c r="L80" t="s">
        <v>41</v>
      </c>
      <c r="M80" t="s">
        <v>29</v>
      </c>
      <c r="N80" t="s">
        <v>34</v>
      </c>
      <c r="O80" t="str">
        <f>IFERROR(IF(AmazonSales5[[#This Row],[Delivery Date]]="", "", IF(AmazonSales5[[#This Row],[Delivery Date]]-AmazonSales5[[#This Row],[Order Date]]&lt;=2,"Fast","Slow")),"")</f>
        <v/>
      </c>
    </row>
    <row r="81" spans="1:15" x14ac:dyDescent="0.3">
      <c r="A81" t="s">
        <v>169</v>
      </c>
      <c r="B81" s="1">
        <v>45215</v>
      </c>
      <c r="C81" s="1">
        <v>45218</v>
      </c>
      <c r="D81" s="1"/>
      <c r="E81" t="s">
        <v>108</v>
      </c>
      <c r="F81" t="str">
        <f>_xlfn.XLOOKUP(AmazonSales5[[#This Row],[Customer ID]],customerdata[Customer ID],customerdata[Customer Name],"Not Found")</f>
        <v>Luke Gray</v>
      </c>
      <c r="G81" t="s">
        <v>22</v>
      </c>
      <c r="H81" t="s">
        <v>23</v>
      </c>
      <c r="I81">
        <v>95</v>
      </c>
      <c r="J81">
        <v>4</v>
      </c>
      <c r="K81">
        <v>380</v>
      </c>
      <c r="L81" t="s">
        <v>24</v>
      </c>
      <c r="M81" t="s">
        <v>25</v>
      </c>
      <c r="N81" t="s">
        <v>34</v>
      </c>
      <c r="O81" t="str">
        <f>IFERROR(IF(AmazonSales5[[#This Row],[Delivery Date]]="", "", IF(AmazonSales5[[#This Row],[Delivery Date]]-AmazonSales5[[#This Row],[Order Date]]&lt;=2,"Fast","Slow")),"")</f>
        <v>Slow</v>
      </c>
    </row>
    <row r="82" spans="1:15" x14ac:dyDescent="0.3">
      <c r="A82" t="s">
        <v>170</v>
      </c>
      <c r="B82" s="1">
        <v>45057</v>
      </c>
      <c r="C82" s="1"/>
      <c r="D82" s="1"/>
      <c r="E82" t="s">
        <v>121</v>
      </c>
      <c r="F82" t="str">
        <f>_xlfn.XLOOKUP(AmazonSales5[[#This Row],[Customer ID]],customerdata[Customer ID],customerdata[Customer Name],"Not Found")</f>
        <v>James Miller</v>
      </c>
      <c r="G82" t="s">
        <v>109</v>
      </c>
      <c r="H82" t="s">
        <v>50</v>
      </c>
      <c r="I82">
        <v>174</v>
      </c>
      <c r="J82">
        <v>2</v>
      </c>
      <c r="K82">
        <v>348</v>
      </c>
      <c r="L82" t="s">
        <v>33</v>
      </c>
      <c r="M82" t="s">
        <v>29</v>
      </c>
      <c r="N82" t="s">
        <v>34</v>
      </c>
      <c r="O82" t="str">
        <f>IFERROR(IF(AmazonSales5[[#This Row],[Delivery Date]]="", "", IF(AmazonSales5[[#This Row],[Delivery Date]]-AmazonSales5[[#This Row],[Order Date]]&lt;=2,"Fast","Slow")),"")</f>
        <v/>
      </c>
    </row>
    <row r="83" spans="1:15" x14ac:dyDescent="0.3">
      <c r="A83" t="s">
        <v>171</v>
      </c>
      <c r="B83" s="1">
        <v>45092</v>
      </c>
      <c r="C83" s="1"/>
      <c r="D83" s="1">
        <v>45095</v>
      </c>
      <c r="E83" t="s">
        <v>57</v>
      </c>
      <c r="F83" t="str">
        <f>_xlfn.XLOOKUP(AmazonSales5[[#This Row],[Customer ID]],customerdata[Customer ID],customerdata[Customer Name],"Not Found")</f>
        <v>Emily Johnson</v>
      </c>
      <c r="G83" t="s">
        <v>69</v>
      </c>
      <c r="H83" t="s">
        <v>16</v>
      </c>
      <c r="I83">
        <v>27</v>
      </c>
      <c r="J83">
        <v>5</v>
      </c>
      <c r="K83">
        <v>135</v>
      </c>
      <c r="L83" t="s">
        <v>24</v>
      </c>
      <c r="M83" t="s">
        <v>18</v>
      </c>
      <c r="N83" t="s">
        <v>38</v>
      </c>
      <c r="O83" t="str">
        <f>IFERROR(IF(AmazonSales5[[#This Row],[Delivery Date]]="", "", IF(AmazonSales5[[#This Row],[Delivery Date]]-AmazonSales5[[#This Row],[Order Date]]&lt;=2,"Fast","Slow")),"")</f>
        <v/>
      </c>
    </row>
    <row r="84" spans="1:15" x14ac:dyDescent="0.3">
      <c r="A84" t="s">
        <v>172</v>
      </c>
      <c r="B84" s="1">
        <v>45227</v>
      </c>
      <c r="C84" s="1">
        <v>45229</v>
      </c>
      <c r="D84" s="1"/>
      <c r="E84" t="s">
        <v>14</v>
      </c>
      <c r="F84" t="str">
        <f>_xlfn.XLOOKUP(AmazonSales5[[#This Row],[Customer ID]],customerdata[Customer ID],customerdata[Customer Name],"Not Found")</f>
        <v>Zoe Mitchell</v>
      </c>
      <c r="G84" t="s">
        <v>69</v>
      </c>
      <c r="H84" t="s">
        <v>28</v>
      </c>
      <c r="I84">
        <v>27</v>
      </c>
      <c r="J84">
        <v>4</v>
      </c>
      <c r="K84">
        <v>108</v>
      </c>
      <c r="L84" t="s">
        <v>33</v>
      </c>
      <c r="M84" t="s">
        <v>25</v>
      </c>
      <c r="N84" t="s">
        <v>30</v>
      </c>
      <c r="O84" t="str">
        <f>IFERROR(IF(AmazonSales5[[#This Row],[Delivery Date]]="", "", IF(AmazonSales5[[#This Row],[Delivery Date]]-AmazonSales5[[#This Row],[Order Date]]&lt;=2,"Fast","Slow")),"")</f>
        <v>Fast</v>
      </c>
    </row>
    <row r="85" spans="1:15" x14ac:dyDescent="0.3">
      <c r="A85" t="s">
        <v>173</v>
      </c>
      <c r="B85" s="1">
        <v>44938</v>
      </c>
      <c r="C85" s="1"/>
      <c r="D85" s="1"/>
      <c r="E85" t="s">
        <v>174</v>
      </c>
      <c r="F85" t="str">
        <f>_xlfn.XLOOKUP(AmazonSales5[[#This Row],[Customer ID]],customerdata[Customer ID],customerdata[Customer Name],"Not Found")</f>
        <v>Ava White</v>
      </c>
      <c r="G85" t="s">
        <v>92</v>
      </c>
      <c r="H85" t="s">
        <v>28</v>
      </c>
      <c r="I85">
        <v>65</v>
      </c>
      <c r="J85">
        <v>2</v>
      </c>
      <c r="K85">
        <v>130</v>
      </c>
      <c r="L85" t="s">
        <v>33</v>
      </c>
      <c r="M85" t="s">
        <v>29</v>
      </c>
      <c r="N85" t="s">
        <v>19</v>
      </c>
      <c r="O85" t="str">
        <f>IFERROR(IF(AmazonSales5[[#This Row],[Delivery Date]]="", "", IF(AmazonSales5[[#This Row],[Delivery Date]]-AmazonSales5[[#This Row],[Order Date]]&lt;=2,"Fast","Slow")),"")</f>
        <v/>
      </c>
    </row>
    <row r="86" spans="1:15" x14ac:dyDescent="0.3">
      <c r="A86" t="s">
        <v>175</v>
      </c>
      <c r="B86" s="1">
        <v>45110</v>
      </c>
      <c r="C86" s="1"/>
      <c r="D86" s="1"/>
      <c r="E86" t="s">
        <v>60</v>
      </c>
      <c r="F86" t="str">
        <f>_xlfn.XLOOKUP(AmazonSales5[[#This Row],[Customer ID]],customerdata[Customer ID],customerdata[Customer Name],"Not Found")</f>
        <v>Emily Johnson</v>
      </c>
      <c r="G86" t="s">
        <v>53</v>
      </c>
      <c r="H86" t="s">
        <v>23</v>
      </c>
      <c r="I86">
        <v>43</v>
      </c>
      <c r="J86">
        <v>5</v>
      </c>
      <c r="K86">
        <v>215</v>
      </c>
      <c r="L86" t="s">
        <v>46</v>
      </c>
      <c r="M86" t="s">
        <v>29</v>
      </c>
      <c r="N86" t="s">
        <v>19</v>
      </c>
      <c r="O86" t="str">
        <f>IFERROR(IF(AmazonSales5[[#This Row],[Delivery Date]]="", "", IF(AmazonSales5[[#This Row],[Delivery Date]]-AmazonSales5[[#This Row],[Order Date]]&lt;=2,"Fast","Slow")),"")</f>
        <v/>
      </c>
    </row>
    <row r="87" spans="1:15" x14ac:dyDescent="0.3">
      <c r="A87" t="s">
        <v>176</v>
      </c>
      <c r="B87" s="1">
        <v>45210</v>
      </c>
      <c r="C87" s="1"/>
      <c r="D87" s="1"/>
      <c r="E87" t="s">
        <v>97</v>
      </c>
      <c r="F87" t="str">
        <f>_xlfn.XLOOKUP(AmazonSales5[[#This Row],[Customer ID]],customerdata[Customer ID],customerdata[Customer Name],"Not Found")</f>
        <v>Liam Walker</v>
      </c>
      <c r="G87" t="s">
        <v>111</v>
      </c>
      <c r="H87" t="s">
        <v>50</v>
      </c>
      <c r="I87">
        <v>210</v>
      </c>
      <c r="J87">
        <v>1</v>
      </c>
      <c r="K87">
        <v>210</v>
      </c>
      <c r="L87" t="s">
        <v>33</v>
      </c>
      <c r="M87" t="s">
        <v>29</v>
      </c>
      <c r="N87" t="s">
        <v>34</v>
      </c>
      <c r="O87" t="str">
        <f>IFERROR(IF(AmazonSales5[[#This Row],[Delivery Date]]="", "", IF(AmazonSales5[[#This Row],[Delivery Date]]-AmazonSales5[[#This Row],[Order Date]]&lt;=2,"Fast","Slow")),"")</f>
        <v/>
      </c>
    </row>
    <row r="88" spans="1:15" x14ac:dyDescent="0.3">
      <c r="A88" t="s">
        <v>177</v>
      </c>
      <c r="B88" s="1">
        <v>45252</v>
      </c>
      <c r="C88" s="1"/>
      <c r="D88" s="1"/>
      <c r="E88" t="s">
        <v>178</v>
      </c>
      <c r="F88" t="str">
        <f>_xlfn.XLOOKUP(AmazonSales5[[#This Row],[Customer ID]],customerdata[Customer ID],customerdata[Customer Name],"Not Found")</f>
        <v>Lily Reed</v>
      </c>
      <c r="G88" t="s">
        <v>49</v>
      </c>
      <c r="H88" t="s">
        <v>28</v>
      </c>
      <c r="I88">
        <v>37</v>
      </c>
      <c r="J88">
        <v>3</v>
      </c>
      <c r="K88">
        <v>111</v>
      </c>
      <c r="L88" t="s">
        <v>24</v>
      </c>
      <c r="M88" t="s">
        <v>29</v>
      </c>
      <c r="N88" t="s">
        <v>34</v>
      </c>
      <c r="O88" t="str">
        <f>IFERROR(IF(AmazonSales5[[#This Row],[Delivery Date]]="", "", IF(AmazonSales5[[#This Row],[Delivery Date]]-AmazonSales5[[#This Row],[Order Date]]&lt;=2,"Fast","Slow")),"")</f>
        <v/>
      </c>
    </row>
    <row r="89" spans="1:15" x14ac:dyDescent="0.3">
      <c r="A89" t="s">
        <v>179</v>
      </c>
      <c r="B89" s="1">
        <v>45143</v>
      </c>
      <c r="C89" s="1"/>
      <c r="D89" s="1"/>
      <c r="E89" t="s">
        <v>97</v>
      </c>
      <c r="F89" t="str">
        <f>_xlfn.XLOOKUP(AmazonSales5[[#This Row],[Customer ID]],customerdata[Customer ID],customerdata[Customer Name],"Not Found")</f>
        <v>Liam Walker</v>
      </c>
      <c r="G89" t="s">
        <v>81</v>
      </c>
      <c r="H89" t="s">
        <v>28</v>
      </c>
      <c r="I89">
        <v>788</v>
      </c>
      <c r="J89">
        <v>4</v>
      </c>
      <c r="K89">
        <v>3152</v>
      </c>
      <c r="L89" t="s">
        <v>46</v>
      </c>
      <c r="M89" t="s">
        <v>29</v>
      </c>
      <c r="N89" t="s">
        <v>38</v>
      </c>
      <c r="O89" t="str">
        <f>IFERROR(IF(AmazonSales5[[#This Row],[Delivery Date]]="", "", IF(AmazonSales5[[#This Row],[Delivery Date]]-AmazonSales5[[#This Row],[Order Date]]&lt;=2,"Fast","Slow")),"")</f>
        <v/>
      </c>
    </row>
    <row r="90" spans="1:15" x14ac:dyDescent="0.3">
      <c r="A90" t="s">
        <v>180</v>
      </c>
      <c r="B90" s="1">
        <v>45120</v>
      </c>
      <c r="C90" s="1"/>
      <c r="D90" s="1"/>
      <c r="E90" t="s">
        <v>97</v>
      </c>
      <c r="F90" t="str">
        <f>_xlfn.XLOOKUP(AmazonSales5[[#This Row],[Customer ID]],customerdata[Customer ID],customerdata[Customer Name],"Not Found")</f>
        <v>Liam Walker</v>
      </c>
      <c r="G90" t="s">
        <v>111</v>
      </c>
      <c r="H90" t="s">
        <v>50</v>
      </c>
      <c r="I90">
        <v>217</v>
      </c>
      <c r="J90">
        <v>5</v>
      </c>
      <c r="K90">
        <v>1085</v>
      </c>
      <c r="L90" t="s">
        <v>46</v>
      </c>
      <c r="M90" t="s">
        <v>29</v>
      </c>
      <c r="N90" t="s">
        <v>61</v>
      </c>
      <c r="O90" t="str">
        <f>IFERROR(IF(AmazonSales5[[#This Row],[Delivery Date]]="", "", IF(AmazonSales5[[#This Row],[Delivery Date]]-AmazonSales5[[#This Row],[Order Date]]&lt;=2,"Fast","Slow")),"")</f>
        <v/>
      </c>
    </row>
    <row r="91" spans="1:15" x14ac:dyDescent="0.3">
      <c r="A91" t="s">
        <v>181</v>
      </c>
      <c r="B91" s="1">
        <v>44944</v>
      </c>
      <c r="C91" s="1"/>
      <c r="D91" s="1"/>
      <c r="E91" t="s">
        <v>97</v>
      </c>
      <c r="F91" t="str">
        <f>_xlfn.XLOOKUP(AmazonSales5[[#This Row],[Customer ID]],customerdata[Customer ID],customerdata[Customer Name],"Not Found")</f>
        <v>Liam Walker</v>
      </c>
      <c r="G91" t="s">
        <v>55</v>
      </c>
      <c r="H91" t="s">
        <v>50</v>
      </c>
      <c r="I91">
        <v>138</v>
      </c>
      <c r="J91">
        <v>4</v>
      </c>
      <c r="K91">
        <v>552</v>
      </c>
      <c r="L91" t="s">
        <v>24</v>
      </c>
      <c r="M91" t="s">
        <v>29</v>
      </c>
      <c r="N91" t="s">
        <v>61</v>
      </c>
      <c r="O91" t="str">
        <f>IFERROR(IF(AmazonSales5[[#This Row],[Delivery Date]]="", "", IF(AmazonSales5[[#This Row],[Delivery Date]]-AmazonSales5[[#This Row],[Order Date]]&lt;=2,"Fast","Slow")),"")</f>
        <v/>
      </c>
    </row>
    <row r="92" spans="1:15" x14ac:dyDescent="0.3">
      <c r="A92" t="s">
        <v>182</v>
      </c>
      <c r="B92" s="1">
        <v>45100</v>
      </c>
      <c r="C92" s="1">
        <v>45106</v>
      </c>
      <c r="D92" s="1"/>
      <c r="E92" t="s">
        <v>183</v>
      </c>
      <c r="F92" t="str">
        <f>_xlfn.XLOOKUP(AmazonSales5[[#This Row],[Customer ID]],customerdata[Customer ID],customerdata[Customer Name],"Not Found")</f>
        <v>Mason Collins</v>
      </c>
      <c r="G92" t="s">
        <v>81</v>
      </c>
      <c r="H92" t="s">
        <v>45</v>
      </c>
      <c r="I92">
        <v>803</v>
      </c>
      <c r="J92">
        <v>2</v>
      </c>
      <c r="K92">
        <v>1606</v>
      </c>
      <c r="L92" t="s">
        <v>17</v>
      </c>
      <c r="M92" t="s">
        <v>25</v>
      </c>
      <c r="N92" t="s">
        <v>61</v>
      </c>
      <c r="O92" t="str">
        <f>IFERROR(IF(AmazonSales5[[#This Row],[Delivery Date]]="", "", IF(AmazonSales5[[#This Row],[Delivery Date]]-AmazonSales5[[#This Row],[Order Date]]&lt;=2,"Fast","Slow")),"")</f>
        <v>Slow</v>
      </c>
    </row>
    <row r="93" spans="1:15" x14ac:dyDescent="0.3">
      <c r="A93" t="s">
        <v>184</v>
      </c>
      <c r="B93" s="1">
        <v>44978</v>
      </c>
      <c r="C93" s="1"/>
      <c r="D93" s="1">
        <v>44982</v>
      </c>
      <c r="E93" t="s">
        <v>52</v>
      </c>
      <c r="F93" t="str">
        <f>_xlfn.XLOOKUP(AmazonSales5[[#This Row],[Customer ID]],customerdata[Customer ID],customerdata[Customer Name],"Not Found")</f>
        <v>Olivia Martinez</v>
      </c>
      <c r="G93" t="s">
        <v>58</v>
      </c>
      <c r="H93" t="s">
        <v>16</v>
      </c>
      <c r="I93">
        <v>248</v>
      </c>
      <c r="J93">
        <v>5</v>
      </c>
      <c r="K93">
        <v>1240</v>
      </c>
      <c r="L93" t="s">
        <v>33</v>
      </c>
      <c r="M93" t="s">
        <v>18</v>
      </c>
      <c r="N93" t="s">
        <v>34</v>
      </c>
      <c r="O93" t="str">
        <f>IFERROR(IF(AmazonSales5[[#This Row],[Delivery Date]]="", "", IF(AmazonSales5[[#This Row],[Delivery Date]]-AmazonSales5[[#This Row],[Order Date]]&lt;=2,"Fast","Slow")),"")</f>
        <v/>
      </c>
    </row>
    <row r="94" spans="1:15" x14ac:dyDescent="0.3">
      <c r="A94" t="s">
        <v>185</v>
      </c>
      <c r="B94" s="1">
        <v>44976</v>
      </c>
      <c r="C94" s="1">
        <v>44978</v>
      </c>
      <c r="D94" s="1"/>
      <c r="E94" t="s">
        <v>186</v>
      </c>
      <c r="F94" t="str">
        <f>_xlfn.XLOOKUP(AmazonSales5[[#This Row],[Customer ID]],customerdata[Customer ID],customerdata[Customer Name],"Not Found")</f>
        <v>Ethan Davis</v>
      </c>
      <c r="G94" t="s">
        <v>111</v>
      </c>
      <c r="H94" t="s">
        <v>23</v>
      </c>
      <c r="I94">
        <v>210</v>
      </c>
      <c r="J94">
        <v>3</v>
      </c>
      <c r="K94">
        <v>630</v>
      </c>
      <c r="L94" t="s">
        <v>17</v>
      </c>
      <c r="M94" t="s">
        <v>25</v>
      </c>
      <c r="N94" t="s">
        <v>19</v>
      </c>
      <c r="O94" t="str">
        <f>IFERROR(IF(AmazonSales5[[#This Row],[Delivery Date]]="", "", IF(AmazonSales5[[#This Row],[Delivery Date]]-AmazonSales5[[#This Row],[Order Date]]&lt;=2,"Fast","Slow")),"")</f>
        <v>Fast</v>
      </c>
    </row>
    <row r="95" spans="1:15" x14ac:dyDescent="0.3">
      <c r="A95" t="s">
        <v>187</v>
      </c>
      <c r="B95" s="1">
        <v>45201</v>
      </c>
      <c r="C95" s="1"/>
      <c r="D95" s="1">
        <v>45272</v>
      </c>
      <c r="E95" t="s">
        <v>52</v>
      </c>
      <c r="F95" t="str">
        <f>_xlfn.XLOOKUP(AmazonSales5[[#This Row],[Customer ID]],customerdata[Customer ID],customerdata[Customer Name],"Not Found")</f>
        <v>Olivia Martinez</v>
      </c>
      <c r="G95" t="s">
        <v>119</v>
      </c>
      <c r="H95" t="s">
        <v>16</v>
      </c>
      <c r="I95">
        <v>62</v>
      </c>
      <c r="J95">
        <v>2</v>
      </c>
      <c r="K95">
        <v>124</v>
      </c>
      <c r="L95" t="s">
        <v>24</v>
      </c>
      <c r="M95" t="s">
        <v>18</v>
      </c>
      <c r="N95" t="s">
        <v>61</v>
      </c>
      <c r="O95" t="str">
        <f>IFERROR(IF(AmazonSales5[[#This Row],[Delivery Date]]="", "", IF(AmazonSales5[[#This Row],[Delivery Date]]-AmazonSales5[[#This Row],[Order Date]]&lt;=2,"Fast","Slow")),"")</f>
        <v/>
      </c>
    </row>
    <row r="96" spans="1:15" x14ac:dyDescent="0.3">
      <c r="A96" t="s">
        <v>188</v>
      </c>
      <c r="B96" s="1">
        <v>45084</v>
      </c>
      <c r="C96" s="1"/>
      <c r="D96" s="1">
        <v>45089</v>
      </c>
      <c r="E96" t="s">
        <v>178</v>
      </c>
      <c r="F96" t="str">
        <f>_xlfn.XLOOKUP(AmazonSales5[[#This Row],[Customer ID]],customerdata[Customer ID],customerdata[Customer Name],"Not Found")</f>
        <v>Lily Reed</v>
      </c>
      <c r="G96" t="s">
        <v>104</v>
      </c>
      <c r="H96" t="s">
        <v>28</v>
      </c>
      <c r="I96">
        <v>11</v>
      </c>
      <c r="J96">
        <v>5</v>
      </c>
      <c r="K96">
        <v>55</v>
      </c>
      <c r="L96" t="s">
        <v>46</v>
      </c>
      <c r="M96" t="s">
        <v>18</v>
      </c>
      <c r="N96" t="s">
        <v>38</v>
      </c>
      <c r="O96" t="str">
        <f>IFERROR(IF(AmazonSales5[[#This Row],[Delivery Date]]="", "", IF(AmazonSales5[[#This Row],[Delivery Date]]-AmazonSales5[[#This Row],[Order Date]]&lt;=2,"Fast","Slow")),"")</f>
        <v/>
      </c>
    </row>
    <row r="97" spans="1:15" x14ac:dyDescent="0.3">
      <c r="A97" t="s">
        <v>189</v>
      </c>
      <c r="B97" s="1">
        <v>45116</v>
      </c>
      <c r="C97" s="1">
        <v>45267</v>
      </c>
      <c r="D97" s="1"/>
      <c r="E97" t="s">
        <v>139</v>
      </c>
      <c r="F97" t="str">
        <f>_xlfn.XLOOKUP(AmazonSales5[[#This Row],[Customer ID]],customerdata[Customer ID],customerdata[Customer Name],"Not Found")</f>
        <v>Emma King</v>
      </c>
      <c r="G97" t="s">
        <v>73</v>
      </c>
      <c r="H97" t="s">
        <v>16</v>
      </c>
      <c r="I97">
        <v>21</v>
      </c>
      <c r="J97">
        <v>2</v>
      </c>
      <c r="K97">
        <v>42</v>
      </c>
      <c r="L97" t="s">
        <v>41</v>
      </c>
      <c r="M97" t="s">
        <v>25</v>
      </c>
      <c r="N97" t="s">
        <v>34</v>
      </c>
      <c r="O97" t="str">
        <f>IFERROR(IF(AmazonSales5[[#This Row],[Delivery Date]]="", "", IF(AmazonSales5[[#This Row],[Delivery Date]]-AmazonSales5[[#This Row],[Order Date]]&lt;=2,"Fast","Slow")),"")</f>
        <v>Slow</v>
      </c>
    </row>
    <row r="98" spans="1:15" x14ac:dyDescent="0.3">
      <c r="A98" t="s">
        <v>190</v>
      </c>
      <c r="B98" s="1">
        <v>45283</v>
      </c>
      <c r="C98" s="1">
        <v>45286</v>
      </c>
      <c r="D98" s="1"/>
      <c r="E98" t="s">
        <v>63</v>
      </c>
      <c r="F98" t="str">
        <f>_xlfn.XLOOKUP(AmazonSales5[[#This Row],[Customer ID]],customerdata[Customer ID],customerdata[Customer Name],"Not Found")</f>
        <v>Charlotte Reed</v>
      </c>
      <c r="G98" t="s">
        <v>22</v>
      </c>
      <c r="H98" t="s">
        <v>50</v>
      </c>
      <c r="I98">
        <v>95</v>
      </c>
      <c r="J98">
        <v>5</v>
      </c>
      <c r="K98">
        <v>475</v>
      </c>
      <c r="L98" t="s">
        <v>41</v>
      </c>
      <c r="M98" t="s">
        <v>25</v>
      </c>
      <c r="N98" t="s">
        <v>38</v>
      </c>
      <c r="O98" t="str">
        <f>IFERROR(IF(AmazonSales5[[#This Row],[Delivery Date]]="", "", IF(AmazonSales5[[#This Row],[Delivery Date]]-AmazonSales5[[#This Row],[Order Date]]&lt;=2,"Fast","Slow")),"")</f>
        <v>Slow</v>
      </c>
    </row>
    <row r="99" spans="1:15" x14ac:dyDescent="0.3">
      <c r="A99" t="s">
        <v>191</v>
      </c>
      <c r="B99" s="1">
        <v>45194</v>
      </c>
      <c r="C99" s="1">
        <v>45199</v>
      </c>
      <c r="D99" s="1"/>
      <c r="E99" t="s">
        <v>32</v>
      </c>
      <c r="F99" t="str">
        <f>_xlfn.XLOOKUP(AmazonSales5[[#This Row],[Customer ID]],customerdata[Customer ID],customerdata[Customer Name],"Not Found")</f>
        <v>Grace Ward</v>
      </c>
      <c r="G99" t="s">
        <v>111</v>
      </c>
      <c r="H99" t="s">
        <v>28</v>
      </c>
      <c r="I99">
        <v>215</v>
      </c>
      <c r="J99">
        <v>2</v>
      </c>
      <c r="K99">
        <v>430</v>
      </c>
      <c r="L99" t="s">
        <v>33</v>
      </c>
      <c r="M99" t="s">
        <v>25</v>
      </c>
      <c r="N99" t="s">
        <v>38</v>
      </c>
      <c r="O99" t="str">
        <f>IFERROR(IF(AmazonSales5[[#This Row],[Delivery Date]]="", "", IF(AmazonSales5[[#This Row],[Delivery Date]]-AmazonSales5[[#This Row],[Order Date]]&lt;=2,"Fast","Slow")),"")</f>
        <v>Slow</v>
      </c>
    </row>
    <row r="100" spans="1:15" x14ac:dyDescent="0.3">
      <c r="A100" t="s">
        <v>192</v>
      </c>
      <c r="B100" s="1">
        <v>44944</v>
      </c>
      <c r="C100" s="1"/>
      <c r="D100" s="1">
        <v>44950</v>
      </c>
      <c r="E100" t="s">
        <v>193</v>
      </c>
      <c r="F100" t="str">
        <f>_xlfn.XLOOKUP(AmazonSales5[[#This Row],[Customer ID]],customerdata[Customer ID],customerdata[Customer Name],"Not Found")</f>
        <v>Lily Simmons</v>
      </c>
      <c r="G100" t="s">
        <v>53</v>
      </c>
      <c r="H100" t="s">
        <v>50</v>
      </c>
      <c r="I100">
        <v>43</v>
      </c>
      <c r="J100">
        <v>5</v>
      </c>
      <c r="K100">
        <v>215</v>
      </c>
      <c r="L100" t="s">
        <v>24</v>
      </c>
      <c r="M100" t="s">
        <v>18</v>
      </c>
      <c r="N100" t="s">
        <v>34</v>
      </c>
      <c r="O100" t="str">
        <f>IFERROR(IF(AmazonSales5[[#This Row],[Delivery Date]]="", "", IF(AmazonSales5[[#This Row],[Delivery Date]]-AmazonSales5[[#This Row],[Order Date]]&lt;=2,"Fast","Slow")),"")</f>
        <v/>
      </c>
    </row>
    <row r="101" spans="1:15" x14ac:dyDescent="0.3">
      <c r="A101" t="s">
        <v>194</v>
      </c>
      <c r="B101" s="1">
        <v>45012</v>
      </c>
      <c r="C101" s="1"/>
      <c r="D101" s="1"/>
      <c r="E101" t="s">
        <v>40</v>
      </c>
      <c r="F101" t="str">
        <f>_xlfn.XLOOKUP(AmazonSales5[[#This Row],[Customer ID]],customerdata[Customer ID],customerdata[Customer Name],"Not Found")</f>
        <v>Jackson Allen</v>
      </c>
      <c r="G101" t="s">
        <v>90</v>
      </c>
      <c r="H101" t="s">
        <v>50</v>
      </c>
      <c r="I101">
        <v>42</v>
      </c>
      <c r="J101">
        <v>4</v>
      </c>
      <c r="K101">
        <v>168</v>
      </c>
      <c r="L101" t="s">
        <v>46</v>
      </c>
      <c r="M101" t="s">
        <v>29</v>
      </c>
      <c r="N101" t="s">
        <v>19</v>
      </c>
      <c r="O101" t="str">
        <f>IFERROR(IF(AmazonSales5[[#This Row],[Delivery Date]]="", "", IF(AmazonSales5[[#This Row],[Delivery Date]]-AmazonSales5[[#This Row],[Order Date]]&lt;=2,"Fast","Slow")),"")</f>
        <v/>
      </c>
    </row>
    <row r="102" spans="1:15" x14ac:dyDescent="0.3">
      <c r="A102" t="s">
        <v>456</v>
      </c>
      <c r="O102">
        <f>SUBTOTAL(103,AmazonSales5[Delivery Performance])</f>
        <v>100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8042A-32D3-4FF7-AD99-B6DFB1FA8F93}">
  <dimension ref="A1:O93"/>
  <sheetViews>
    <sheetView topLeftCell="A12" zoomScale="78" workbookViewId="0">
      <selection activeCell="H9" sqref="H9"/>
    </sheetView>
  </sheetViews>
  <sheetFormatPr defaultRowHeight="14.4" x14ac:dyDescent="0.3"/>
  <cols>
    <col min="1" max="1" width="18.21875" bestFit="1" customWidth="1"/>
    <col min="2" max="2" width="16.109375" bestFit="1" customWidth="1"/>
    <col min="3" max="3" width="9" bestFit="1" customWidth="1"/>
    <col min="4" max="4" width="8.5546875" bestFit="1" customWidth="1"/>
    <col min="5" max="5" width="11.109375" bestFit="1" customWidth="1"/>
    <col min="6" max="6" width="7.109375" bestFit="1" customWidth="1"/>
    <col min="7" max="7" width="10" bestFit="1" customWidth="1"/>
    <col min="8" max="8" width="10.109375" customWidth="1"/>
    <col min="9" max="9" width="16.33203125" bestFit="1" customWidth="1"/>
    <col min="10" max="15" width="8.77734375" style="53" customWidth="1"/>
    <col min="16" max="18" width="10.109375" customWidth="1"/>
    <col min="19" max="19" width="8.44140625" bestFit="1" customWidth="1"/>
    <col min="20" max="20" width="5.6640625" bestFit="1" customWidth="1"/>
    <col min="21" max="21" width="8.33203125" bestFit="1" customWidth="1"/>
    <col min="22" max="22" width="5.88671875" bestFit="1" customWidth="1"/>
    <col min="23" max="25" width="5.109375" bestFit="1" customWidth="1"/>
    <col min="26" max="26" width="6.21875" bestFit="1" customWidth="1"/>
    <col min="27" max="27" width="10.33203125" bestFit="1" customWidth="1"/>
    <col min="28" max="28" width="7.5546875" bestFit="1" customWidth="1"/>
    <col min="29" max="29" width="6.109375" bestFit="1" customWidth="1"/>
    <col min="30" max="30" width="5.109375" bestFit="1" customWidth="1"/>
    <col min="31" max="31" width="5.21875" bestFit="1" customWidth="1"/>
    <col min="32" max="32" width="6.21875" bestFit="1" customWidth="1"/>
  </cols>
  <sheetData>
    <row r="1" spans="1:15" x14ac:dyDescent="0.3">
      <c r="A1" s="32" t="s">
        <v>452</v>
      </c>
    </row>
    <row r="2" spans="1:15" x14ac:dyDescent="0.3">
      <c r="A2" s="32" t="s">
        <v>453</v>
      </c>
    </row>
    <row r="4" spans="1:15" s="45" customFormat="1" ht="72" x14ac:dyDescent="0.3">
      <c r="A4" s="47" t="s">
        <v>379</v>
      </c>
      <c r="B4" s="48" t="s">
        <v>446</v>
      </c>
      <c r="C4" s="48" t="s">
        <v>448</v>
      </c>
      <c r="D4" s="48" t="s">
        <v>451</v>
      </c>
      <c r="E4" s="48" t="s">
        <v>450</v>
      </c>
      <c r="F4" s="48" t="s">
        <v>471</v>
      </c>
      <c r="G4" s="58" t="s">
        <v>500</v>
      </c>
      <c r="J4" s="53"/>
      <c r="K4" s="53"/>
      <c r="L4" s="53"/>
      <c r="M4" s="53"/>
      <c r="N4" s="53"/>
      <c r="O4" s="53"/>
    </row>
    <row r="5" spans="1:15" x14ac:dyDescent="0.3">
      <c r="A5" s="49" t="s">
        <v>45</v>
      </c>
      <c r="B5" s="58">
        <v>14</v>
      </c>
      <c r="C5" s="58">
        <v>5</v>
      </c>
      <c r="D5" s="58">
        <v>5</v>
      </c>
      <c r="E5" s="58">
        <v>3010</v>
      </c>
      <c r="F5" s="50">
        <v>0.35714285714285715</v>
      </c>
      <c r="G5" s="58">
        <v>5456</v>
      </c>
    </row>
    <row r="6" spans="1:15" x14ac:dyDescent="0.3">
      <c r="A6" s="49" t="s">
        <v>23</v>
      </c>
      <c r="B6" s="58">
        <v>18</v>
      </c>
      <c r="C6" s="58">
        <v>3</v>
      </c>
      <c r="D6" s="58">
        <v>8</v>
      </c>
      <c r="E6" s="58">
        <v>1842</v>
      </c>
      <c r="F6" s="50">
        <v>0.16666666666666666</v>
      </c>
      <c r="G6" s="58">
        <v>3635</v>
      </c>
    </row>
    <row r="7" spans="1:15" x14ac:dyDescent="0.3">
      <c r="A7" s="49" t="s">
        <v>16</v>
      </c>
      <c r="B7" s="58">
        <v>25</v>
      </c>
      <c r="C7" s="58">
        <v>10</v>
      </c>
      <c r="D7" s="58">
        <v>8</v>
      </c>
      <c r="E7" s="58">
        <v>4075</v>
      </c>
      <c r="F7" s="50">
        <v>0.4</v>
      </c>
      <c r="G7" s="58">
        <v>10491</v>
      </c>
    </row>
    <row r="8" spans="1:15" x14ac:dyDescent="0.3">
      <c r="A8" s="49" t="s">
        <v>28</v>
      </c>
      <c r="B8" s="58">
        <v>20</v>
      </c>
      <c r="C8" s="58">
        <v>4</v>
      </c>
      <c r="D8" s="58">
        <v>6</v>
      </c>
      <c r="E8" s="58">
        <v>1063</v>
      </c>
      <c r="F8" s="50">
        <v>0.2</v>
      </c>
      <c r="G8" s="58">
        <v>7317</v>
      </c>
    </row>
    <row r="9" spans="1:15" x14ac:dyDescent="0.3">
      <c r="A9" s="49" t="s">
        <v>50</v>
      </c>
      <c r="B9" s="58">
        <v>23</v>
      </c>
      <c r="C9" s="58">
        <v>8</v>
      </c>
      <c r="D9" s="58">
        <v>7</v>
      </c>
      <c r="E9" s="58">
        <v>3666</v>
      </c>
      <c r="F9" s="50">
        <v>0.34782608695652173</v>
      </c>
      <c r="G9" s="58">
        <v>8359</v>
      </c>
    </row>
    <row r="10" spans="1:15" x14ac:dyDescent="0.3">
      <c r="A10" s="49" t="s">
        <v>195</v>
      </c>
      <c r="B10" s="58">
        <v>100</v>
      </c>
      <c r="C10" s="58">
        <v>30</v>
      </c>
      <c r="D10" s="58">
        <v>34</v>
      </c>
      <c r="E10" s="58">
        <v>13656</v>
      </c>
      <c r="F10" s="50">
        <v>0.3</v>
      </c>
      <c r="G10" s="58">
        <v>35258</v>
      </c>
    </row>
    <row r="13" spans="1:15" ht="18" x14ac:dyDescent="0.35">
      <c r="A13" s="68" t="s">
        <v>459</v>
      </c>
      <c r="B13" s="3"/>
      <c r="C13" s="32"/>
    </row>
    <row r="14" spans="1:15" ht="28.8" x14ac:dyDescent="0.3">
      <c r="A14" s="111" t="s">
        <v>481</v>
      </c>
      <c r="B14" s="111"/>
      <c r="C14" s="109">
        <f>GETPIVOTDATA("Total Revenue",$A$20)</f>
        <v>35258</v>
      </c>
      <c r="D14" s="109"/>
      <c r="I14" s="2" t="s">
        <v>500</v>
      </c>
      <c r="J14" s="51" t="s">
        <v>483</v>
      </c>
    </row>
    <row r="15" spans="1:15" ht="28.8" x14ac:dyDescent="0.3">
      <c r="A15" s="111" t="s">
        <v>482</v>
      </c>
      <c r="B15" s="111"/>
      <c r="C15" s="108">
        <f>GETPIVOTDATA("Fast delivery %",$A$20)</f>
        <v>0.3235294117647059</v>
      </c>
      <c r="D15" s="108"/>
      <c r="I15" s="2" t="s">
        <v>457</v>
      </c>
      <c r="J15" s="53" t="s">
        <v>45</v>
      </c>
      <c r="K15" s="53" t="s">
        <v>23</v>
      </c>
      <c r="L15" s="53" t="s">
        <v>16</v>
      </c>
      <c r="M15" s="53" t="s">
        <v>28</v>
      </c>
      <c r="N15" s="53" t="s">
        <v>50</v>
      </c>
      <c r="O15" s="53" t="s">
        <v>195</v>
      </c>
    </row>
    <row r="16" spans="1:15" x14ac:dyDescent="0.3">
      <c r="A16" s="111" t="s">
        <v>479</v>
      </c>
      <c r="B16" s="111"/>
      <c r="C16" s="107" t="s">
        <v>458</v>
      </c>
      <c r="D16" s="107"/>
      <c r="I16" s="54" t="s">
        <v>327</v>
      </c>
      <c r="J16" s="76">
        <v>1606</v>
      </c>
      <c r="K16" s="76"/>
      <c r="L16" s="76">
        <v>4886</v>
      </c>
      <c r="M16" s="76">
        <v>3152</v>
      </c>
      <c r="N16" s="76"/>
      <c r="O16" s="76">
        <v>9644</v>
      </c>
    </row>
    <row r="17" spans="1:15" x14ac:dyDescent="0.3">
      <c r="A17" s="111" t="s">
        <v>480</v>
      </c>
      <c r="B17" s="111"/>
      <c r="C17" s="107" t="s">
        <v>327</v>
      </c>
      <c r="D17" s="107"/>
      <c r="I17" s="3" t="s">
        <v>362</v>
      </c>
      <c r="J17" s="53">
        <v>1090</v>
      </c>
      <c r="K17" s="53">
        <v>630</v>
      </c>
      <c r="L17" s="53">
        <v>636</v>
      </c>
      <c r="M17" s="53">
        <v>430</v>
      </c>
      <c r="N17" s="53">
        <v>2365</v>
      </c>
      <c r="O17" s="53">
        <v>5151</v>
      </c>
    </row>
    <row r="18" spans="1:15" x14ac:dyDescent="0.3">
      <c r="A18" s="110"/>
      <c r="B18" s="110"/>
      <c r="I18" s="3" t="s">
        <v>333</v>
      </c>
      <c r="J18" s="53">
        <v>685</v>
      </c>
      <c r="M18" s="53">
        <v>564</v>
      </c>
      <c r="N18" s="53">
        <v>1247</v>
      </c>
      <c r="O18" s="53">
        <v>2496</v>
      </c>
    </row>
    <row r="19" spans="1:15" x14ac:dyDescent="0.3">
      <c r="I19" s="3" t="s">
        <v>358</v>
      </c>
      <c r="J19" s="53">
        <v>741</v>
      </c>
      <c r="L19" s="53">
        <v>1240</v>
      </c>
      <c r="M19" s="53">
        <v>249</v>
      </c>
      <c r="O19" s="53">
        <v>2230</v>
      </c>
    </row>
    <row r="20" spans="1:15" ht="27" customHeight="1" x14ac:dyDescent="0.3">
      <c r="A20" s="51" t="s">
        <v>457</v>
      </c>
      <c r="B20" s="53" t="s">
        <v>470</v>
      </c>
      <c r="C20" s="53" t="s">
        <v>472</v>
      </c>
      <c r="D20" s="53" t="s">
        <v>463</v>
      </c>
      <c r="I20" s="3" t="s">
        <v>356</v>
      </c>
      <c r="L20" s="53">
        <v>1368</v>
      </c>
      <c r="M20" s="53">
        <v>776</v>
      </c>
      <c r="O20" s="53">
        <v>2144</v>
      </c>
    </row>
    <row r="21" spans="1:15" x14ac:dyDescent="0.3">
      <c r="A21" s="3" t="s">
        <v>45</v>
      </c>
      <c r="B21" s="57">
        <v>0.2</v>
      </c>
      <c r="C21" s="33">
        <v>5456</v>
      </c>
      <c r="D21" s="33">
        <v>14</v>
      </c>
      <c r="I21" s="3" t="s">
        <v>366</v>
      </c>
      <c r="J21" s="53">
        <v>291</v>
      </c>
      <c r="K21" s="53">
        <v>764</v>
      </c>
      <c r="N21" s="53">
        <v>475</v>
      </c>
      <c r="O21" s="53">
        <v>1530</v>
      </c>
    </row>
    <row r="22" spans="1:15" x14ac:dyDescent="0.3">
      <c r="A22" s="3" t="s">
        <v>23</v>
      </c>
      <c r="B22" s="57">
        <v>0.25</v>
      </c>
      <c r="C22" s="33">
        <v>3635</v>
      </c>
      <c r="D22" s="33">
        <v>18</v>
      </c>
      <c r="I22" s="3" t="s">
        <v>364</v>
      </c>
      <c r="K22" s="53">
        <v>365</v>
      </c>
      <c r="L22" s="53">
        <v>292</v>
      </c>
      <c r="M22" s="53">
        <v>365</v>
      </c>
      <c r="N22" s="53">
        <v>370</v>
      </c>
      <c r="O22" s="53">
        <v>1392</v>
      </c>
    </row>
    <row r="23" spans="1:15" x14ac:dyDescent="0.3">
      <c r="A23" s="3" t="s">
        <v>16</v>
      </c>
      <c r="B23" s="57">
        <v>0.375</v>
      </c>
      <c r="C23" s="33">
        <v>10491</v>
      </c>
      <c r="D23" s="33">
        <v>25</v>
      </c>
      <c r="I23" s="3" t="s">
        <v>345</v>
      </c>
      <c r="K23" s="53">
        <v>276</v>
      </c>
      <c r="L23" s="53">
        <v>345</v>
      </c>
      <c r="M23" s="53">
        <v>347</v>
      </c>
      <c r="N23" s="53">
        <v>350</v>
      </c>
      <c r="O23" s="53">
        <v>1318</v>
      </c>
    </row>
    <row r="24" spans="1:15" x14ac:dyDescent="0.3">
      <c r="A24" s="3" t="s">
        <v>28</v>
      </c>
      <c r="B24" s="57">
        <v>0.5</v>
      </c>
      <c r="C24" s="33">
        <v>7317</v>
      </c>
      <c r="D24" s="33">
        <v>20</v>
      </c>
      <c r="I24" s="3" t="s">
        <v>341</v>
      </c>
      <c r="J24" s="53">
        <v>96</v>
      </c>
      <c r="K24" s="53">
        <v>97</v>
      </c>
      <c r="L24" s="53">
        <v>190</v>
      </c>
      <c r="M24" s="53">
        <v>376</v>
      </c>
      <c r="N24" s="53">
        <v>480</v>
      </c>
      <c r="O24" s="53">
        <v>1239</v>
      </c>
    </row>
    <row r="25" spans="1:15" x14ac:dyDescent="0.3">
      <c r="A25" s="3" t="s">
        <v>50</v>
      </c>
      <c r="B25" s="57">
        <v>0.2857142857142857</v>
      </c>
      <c r="C25" s="33">
        <v>8359</v>
      </c>
      <c r="D25" s="33">
        <v>23</v>
      </c>
      <c r="I25" s="3" t="s">
        <v>352</v>
      </c>
      <c r="M25" s="53">
        <v>172</v>
      </c>
      <c r="N25" s="53">
        <v>1040</v>
      </c>
      <c r="O25" s="53">
        <v>1212</v>
      </c>
    </row>
    <row r="26" spans="1:15" x14ac:dyDescent="0.3">
      <c r="A26" s="3" t="s">
        <v>195</v>
      </c>
      <c r="B26" s="57">
        <v>0.3235294117647059</v>
      </c>
      <c r="C26" s="33">
        <v>35258</v>
      </c>
      <c r="D26" s="33">
        <v>100</v>
      </c>
      <c r="I26" s="3" t="s">
        <v>336</v>
      </c>
      <c r="J26" s="53">
        <v>62</v>
      </c>
      <c r="K26" s="53">
        <v>496</v>
      </c>
      <c r="L26" s="53">
        <v>188</v>
      </c>
      <c r="N26" s="53">
        <v>378</v>
      </c>
      <c r="O26" s="53">
        <v>1124</v>
      </c>
    </row>
    <row r="27" spans="1:15" x14ac:dyDescent="0.3">
      <c r="I27" s="3" t="s">
        <v>368</v>
      </c>
      <c r="J27" s="53">
        <v>88</v>
      </c>
      <c r="K27" s="53">
        <v>258</v>
      </c>
      <c r="L27" s="53">
        <v>172</v>
      </c>
      <c r="N27" s="53">
        <v>477</v>
      </c>
      <c r="O27" s="53">
        <v>995</v>
      </c>
    </row>
    <row r="28" spans="1:15" x14ac:dyDescent="0.3">
      <c r="I28" s="3" t="s">
        <v>372</v>
      </c>
      <c r="J28" s="53">
        <v>288</v>
      </c>
      <c r="K28" s="53">
        <v>111</v>
      </c>
      <c r="L28" s="53">
        <v>37</v>
      </c>
      <c r="M28" s="53">
        <v>111</v>
      </c>
      <c r="N28" s="53">
        <v>293</v>
      </c>
      <c r="O28" s="53">
        <v>840</v>
      </c>
    </row>
    <row r="29" spans="1:15" x14ac:dyDescent="0.3">
      <c r="B29" s="33"/>
      <c r="I29" s="3" t="s">
        <v>370</v>
      </c>
      <c r="J29" s="53">
        <v>315</v>
      </c>
      <c r="L29" s="53">
        <v>104</v>
      </c>
      <c r="N29" s="53">
        <v>312</v>
      </c>
      <c r="O29" s="53">
        <v>731</v>
      </c>
    </row>
    <row r="30" spans="1:15" ht="27" customHeight="1" x14ac:dyDescent="0.3">
      <c r="A30" s="67" t="s">
        <v>461</v>
      </c>
      <c r="B30" s="52" t="s">
        <v>198</v>
      </c>
      <c r="C30" s="45"/>
      <c r="D30" s="45"/>
      <c r="E30" s="45"/>
      <c r="F30" s="45"/>
      <c r="G30" s="45"/>
      <c r="I30" s="3" t="s">
        <v>330</v>
      </c>
      <c r="J30" s="53">
        <v>84</v>
      </c>
      <c r="K30" s="53">
        <v>164</v>
      </c>
      <c r="L30" s="53">
        <v>210</v>
      </c>
      <c r="M30" s="53">
        <v>43</v>
      </c>
      <c r="N30" s="53">
        <v>168</v>
      </c>
      <c r="O30" s="53">
        <v>669</v>
      </c>
    </row>
    <row r="31" spans="1:15" ht="28.8" x14ac:dyDescent="0.3">
      <c r="A31" s="52" t="s">
        <v>457</v>
      </c>
      <c r="B31" s="53" t="s">
        <v>45</v>
      </c>
      <c r="C31" s="53" t="s">
        <v>23</v>
      </c>
      <c r="D31" s="53" t="s">
        <v>16</v>
      </c>
      <c r="E31" s="53" t="s">
        <v>28</v>
      </c>
      <c r="F31" s="53" t="s">
        <v>50</v>
      </c>
      <c r="G31" s="53" t="s">
        <v>195</v>
      </c>
      <c r="I31" s="3" t="s">
        <v>350</v>
      </c>
      <c r="K31" s="53">
        <v>116</v>
      </c>
      <c r="L31" s="53">
        <v>291</v>
      </c>
      <c r="N31" s="53">
        <v>174</v>
      </c>
      <c r="O31" s="53">
        <v>581</v>
      </c>
    </row>
    <row r="32" spans="1:15" ht="15" customHeight="1" x14ac:dyDescent="0.3">
      <c r="A32" s="71" t="s">
        <v>496</v>
      </c>
      <c r="B32" s="70">
        <v>578</v>
      </c>
      <c r="C32" s="70">
        <v>1618</v>
      </c>
      <c r="D32" s="70">
        <v>3035</v>
      </c>
      <c r="E32" s="70">
        <v>351</v>
      </c>
      <c r="F32" s="70">
        <v>1772</v>
      </c>
      <c r="G32" s="70">
        <v>7354</v>
      </c>
      <c r="I32" s="3" t="s">
        <v>338</v>
      </c>
      <c r="J32" s="53">
        <v>26</v>
      </c>
      <c r="K32" s="53">
        <v>108</v>
      </c>
      <c r="L32" s="53">
        <v>135</v>
      </c>
      <c r="M32" s="53">
        <v>270</v>
      </c>
      <c r="O32" s="53">
        <v>539</v>
      </c>
    </row>
    <row r="33" spans="1:15" ht="15" customHeight="1" x14ac:dyDescent="0.3">
      <c r="A33" s="69" t="s">
        <v>484</v>
      </c>
      <c r="B33" s="53">
        <v>170</v>
      </c>
      <c r="C33" s="53">
        <v>461</v>
      </c>
      <c r="D33" s="53">
        <v>300</v>
      </c>
      <c r="E33" s="53">
        <v>270</v>
      </c>
      <c r="F33" s="53">
        <v>952</v>
      </c>
      <c r="G33" s="53">
        <v>2153</v>
      </c>
      <c r="I33" s="3" t="s">
        <v>374</v>
      </c>
      <c r="K33" s="53">
        <v>132</v>
      </c>
      <c r="M33" s="53">
        <v>386</v>
      </c>
      <c r="O33" s="53">
        <v>518</v>
      </c>
    </row>
    <row r="34" spans="1:15" ht="15" customHeight="1" x14ac:dyDescent="0.3">
      <c r="A34" s="69" t="s">
        <v>485</v>
      </c>
      <c r="B34" s="53">
        <v>324</v>
      </c>
      <c r="C34" s="53">
        <v>1157</v>
      </c>
      <c r="D34" s="53">
        <v>2461</v>
      </c>
      <c r="E34" s="53">
        <v>81</v>
      </c>
      <c r="F34" s="53">
        <v>652</v>
      </c>
      <c r="G34" s="53">
        <v>4675</v>
      </c>
      <c r="I34" s="3" t="s">
        <v>354</v>
      </c>
      <c r="L34" s="53">
        <v>90</v>
      </c>
      <c r="N34" s="53">
        <v>230</v>
      </c>
      <c r="O34" s="53">
        <v>320</v>
      </c>
    </row>
    <row r="35" spans="1:15" ht="15" customHeight="1" x14ac:dyDescent="0.3">
      <c r="A35" s="69" t="s">
        <v>486</v>
      </c>
      <c r="B35" s="53">
        <v>84</v>
      </c>
      <c r="C35" s="53"/>
      <c r="D35" s="53">
        <v>274</v>
      </c>
      <c r="E35" s="53"/>
      <c r="F35" s="53">
        <v>168</v>
      </c>
      <c r="G35" s="53">
        <v>526</v>
      </c>
      <c r="I35" s="3" t="s">
        <v>360</v>
      </c>
      <c r="J35" s="53">
        <v>84</v>
      </c>
      <c r="K35" s="53">
        <v>63</v>
      </c>
      <c r="L35" s="53">
        <v>64</v>
      </c>
      <c r="M35" s="53">
        <v>21</v>
      </c>
      <c r="O35" s="53">
        <v>232</v>
      </c>
    </row>
    <row r="36" spans="1:15" ht="15" customHeight="1" x14ac:dyDescent="0.3">
      <c r="A36" s="71" t="s">
        <v>497</v>
      </c>
      <c r="B36" s="70">
        <v>2291</v>
      </c>
      <c r="C36" s="70">
        <v>483</v>
      </c>
      <c r="D36" s="70">
        <v>723</v>
      </c>
      <c r="E36" s="70">
        <v>766</v>
      </c>
      <c r="F36" s="70">
        <v>390</v>
      </c>
      <c r="G36" s="70">
        <v>4653</v>
      </c>
      <c r="I36" s="3" t="s">
        <v>343</v>
      </c>
      <c r="L36" s="53">
        <v>188</v>
      </c>
      <c r="O36" s="53">
        <v>188</v>
      </c>
    </row>
    <row r="37" spans="1:15" ht="12" customHeight="1" x14ac:dyDescent="0.3">
      <c r="A37" s="69" t="s">
        <v>495</v>
      </c>
      <c r="B37" s="53"/>
      <c r="C37" s="53"/>
      <c r="D37" s="53"/>
      <c r="E37" s="53">
        <v>249</v>
      </c>
      <c r="F37" s="53"/>
      <c r="G37" s="53">
        <v>249</v>
      </c>
      <c r="I37" s="3" t="s">
        <v>348</v>
      </c>
      <c r="K37" s="53">
        <v>55</v>
      </c>
      <c r="L37" s="53">
        <v>55</v>
      </c>
      <c r="M37" s="53">
        <v>55</v>
      </c>
      <c r="O37" s="53">
        <v>165</v>
      </c>
    </row>
    <row r="38" spans="1:15" ht="15" customHeight="1" x14ac:dyDescent="0.3">
      <c r="A38" s="69" t="s">
        <v>492</v>
      </c>
      <c r="B38" s="53"/>
      <c r="C38" s="53">
        <v>365</v>
      </c>
      <c r="D38" s="53">
        <v>588</v>
      </c>
      <c r="E38" s="53">
        <v>462</v>
      </c>
      <c r="F38" s="53">
        <v>390</v>
      </c>
      <c r="G38" s="53">
        <v>1805</v>
      </c>
      <c r="I38" s="3" t="s">
        <v>195</v>
      </c>
      <c r="J38" s="53">
        <v>5456</v>
      </c>
      <c r="K38" s="53">
        <v>3635</v>
      </c>
      <c r="L38" s="53">
        <v>10491</v>
      </c>
      <c r="M38" s="53">
        <v>7317</v>
      </c>
      <c r="N38" s="53">
        <v>8359</v>
      </c>
      <c r="O38" s="53">
        <v>35258</v>
      </c>
    </row>
    <row r="39" spans="1:15" ht="12" customHeight="1" x14ac:dyDescent="0.3">
      <c r="A39" s="69" t="s">
        <v>487</v>
      </c>
      <c r="B39" s="53">
        <v>2291</v>
      </c>
      <c r="C39" s="53">
        <v>118</v>
      </c>
      <c r="D39" s="53">
        <v>135</v>
      </c>
      <c r="E39" s="53">
        <v>55</v>
      </c>
      <c r="F39" s="53"/>
      <c r="G39" s="53">
        <v>2599</v>
      </c>
    </row>
    <row r="40" spans="1:15" ht="15" customHeight="1" x14ac:dyDescent="0.3">
      <c r="A40" s="71" t="s">
        <v>498</v>
      </c>
      <c r="B40" s="70">
        <v>1435</v>
      </c>
      <c r="C40" s="70">
        <v>574</v>
      </c>
      <c r="D40" s="70">
        <v>1387</v>
      </c>
      <c r="E40" s="70">
        <v>3985</v>
      </c>
      <c r="F40" s="70">
        <v>2320</v>
      </c>
      <c r="G40" s="70">
        <v>9701</v>
      </c>
    </row>
    <row r="41" spans="1:15" ht="12" customHeight="1" x14ac:dyDescent="0.3">
      <c r="A41" s="69" t="s">
        <v>488</v>
      </c>
      <c r="B41" s="53">
        <v>829</v>
      </c>
      <c r="C41" s="53">
        <v>574</v>
      </c>
      <c r="D41" s="53">
        <v>1096</v>
      </c>
      <c r="E41" s="53"/>
      <c r="F41" s="53">
        <v>1274</v>
      </c>
      <c r="G41" s="53">
        <v>3773</v>
      </c>
    </row>
    <row r="42" spans="1:15" ht="12" customHeight="1" x14ac:dyDescent="0.3">
      <c r="A42" s="69" t="s">
        <v>489</v>
      </c>
      <c r="B42" s="53">
        <v>315</v>
      </c>
      <c r="C42" s="53"/>
      <c r="D42" s="53">
        <v>119</v>
      </c>
      <c r="E42" s="53">
        <v>3555</v>
      </c>
      <c r="F42" s="53"/>
      <c r="G42" s="53">
        <v>3989</v>
      </c>
    </row>
    <row r="43" spans="1:15" ht="12" customHeight="1" x14ac:dyDescent="0.3">
      <c r="A43" s="69" t="s">
        <v>490</v>
      </c>
      <c r="B43" s="53">
        <v>291</v>
      </c>
      <c r="C43" s="53"/>
      <c r="D43" s="53">
        <v>172</v>
      </c>
      <c r="E43" s="53">
        <v>430</v>
      </c>
      <c r="F43" s="53">
        <v>1046</v>
      </c>
      <c r="G43" s="53">
        <v>1939</v>
      </c>
    </row>
    <row r="44" spans="1:15" ht="15" customHeight="1" x14ac:dyDescent="0.3">
      <c r="A44" s="71" t="s">
        <v>499</v>
      </c>
      <c r="B44" s="70">
        <v>1152</v>
      </c>
      <c r="C44" s="70">
        <v>960</v>
      </c>
      <c r="D44" s="70">
        <v>5346</v>
      </c>
      <c r="E44" s="70">
        <v>2215</v>
      </c>
      <c r="F44" s="70">
        <v>3877</v>
      </c>
      <c r="G44" s="70">
        <v>13550</v>
      </c>
    </row>
    <row r="45" spans="1:15" ht="12" customHeight="1" x14ac:dyDescent="0.3">
      <c r="A45" s="69" t="s">
        <v>493</v>
      </c>
      <c r="B45" s="53"/>
      <c r="C45" s="53">
        <v>917</v>
      </c>
      <c r="D45" s="53">
        <v>124</v>
      </c>
      <c r="E45" s="53">
        <v>571</v>
      </c>
      <c r="F45" s="53">
        <v>275</v>
      </c>
      <c r="G45" s="53">
        <v>1887</v>
      </c>
    </row>
    <row r="46" spans="1:15" ht="12" customHeight="1" x14ac:dyDescent="0.3">
      <c r="A46" s="69" t="s">
        <v>494</v>
      </c>
      <c r="B46" s="53"/>
      <c r="C46" s="53"/>
      <c r="D46" s="53">
        <v>3260</v>
      </c>
      <c r="E46" s="53">
        <v>908</v>
      </c>
      <c r="F46" s="53">
        <v>2120</v>
      </c>
      <c r="G46" s="53">
        <v>6288</v>
      </c>
    </row>
    <row r="47" spans="1:15" ht="12" customHeight="1" x14ac:dyDescent="0.3">
      <c r="A47" s="69" t="s">
        <v>491</v>
      </c>
      <c r="B47" s="53">
        <v>1152</v>
      </c>
      <c r="C47" s="53">
        <v>43</v>
      </c>
      <c r="D47" s="53">
        <v>1962</v>
      </c>
      <c r="E47" s="53">
        <v>736</v>
      </c>
      <c r="F47" s="53">
        <v>1482</v>
      </c>
      <c r="G47" s="53">
        <v>5375</v>
      </c>
    </row>
    <row r="48" spans="1:15" ht="15" customHeight="1" x14ac:dyDescent="0.3">
      <c r="A48" s="72" t="s">
        <v>195</v>
      </c>
      <c r="B48" s="73">
        <v>5456</v>
      </c>
      <c r="C48" s="73">
        <v>3635</v>
      </c>
      <c r="D48" s="73">
        <v>10491</v>
      </c>
      <c r="E48" s="73">
        <v>7317</v>
      </c>
      <c r="F48" s="73">
        <v>8359</v>
      </c>
      <c r="G48" s="73">
        <v>35258</v>
      </c>
    </row>
    <row r="49" spans="1:5" ht="12" customHeight="1" x14ac:dyDescent="0.3"/>
    <row r="50" spans="1:5" ht="15" customHeight="1" x14ac:dyDescent="0.3"/>
    <row r="51" spans="1:5" ht="31.8" customHeight="1" x14ac:dyDescent="0.3">
      <c r="A51" s="2" t="s">
        <v>473</v>
      </c>
      <c r="B51" s="2" t="s">
        <v>483</v>
      </c>
    </row>
    <row r="52" spans="1:5" ht="23.4" customHeight="1" x14ac:dyDescent="0.3">
      <c r="A52" s="2" t="s">
        <v>457</v>
      </c>
      <c r="B52" s="53" t="s">
        <v>18</v>
      </c>
      <c r="C52" s="53" t="s">
        <v>25</v>
      </c>
      <c r="D52" s="53" t="s">
        <v>29</v>
      </c>
      <c r="E52" t="s">
        <v>446</v>
      </c>
    </row>
    <row r="53" spans="1:5" ht="12" customHeight="1" x14ac:dyDescent="0.3">
      <c r="A53" s="3" t="s">
        <v>346</v>
      </c>
      <c r="B53" s="53">
        <v>3</v>
      </c>
      <c r="C53" s="53">
        <v>3</v>
      </c>
      <c r="D53" s="53">
        <v>7</v>
      </c>
      <c r="E53" s="53">
        <v>13</v>
      </c>
    </row>
    <row r="54" spans="1:5" ht="12" customHeight="1" x14ac:dyDescent="0.3">
      <c r="A54" s="3" t="s">
        <v>328</v>
      </c>
      <c r="B54" s="53">
        <v>4</v>
      </c>
      <c r="C54" s="53">
        <v>6</v>
      </c>
      <c r="D54" s="53">
        <v>7</v>
      </c>
      <c r="E54" s="53">
        <v>17</v>
      </c>
    </row>
    <row r="55" spans="1:5" ht="12" customHeight="1" x14ac:dyDescent="0.3">
      <c r="A55" s="3" t="s">
        <v>339</v>
      </c>
      <c r="B55" s="53">
        <v>10</v>
      </c>
      <c r="C55" s="53">
        <v>10</v>
      </c>
      <c r="D55" s="53">
        <v>7</v>
      </c>
      <c r="E55" s="53">
        <v>27</v>
      </c>
    </row>
    <row r="56" spans="1:5" ht="12" customHeight="1" x14ac:dyDescent="0.3">
      <c r="A56" s="3" t="s">
        <v>334</v>
      </c>
      <c r="B56" s="53">
        <v>7</v>
      </c>
      <c r="C56" s="53">
        <v>7</v>
      </c>
      <c r="D56" s="53">
        <v>10</v>
      </c>
      <c r="E56" s="53">
        <v>24</v>
      </c>
    </row>
    <row r="57" spans="1:5" ht="12" customHeight="1" x14ac:dyDescent="0.3">
      <c r="A57" s="3" t="s">
        <v>331</v>
      </c>
      <c r="B57" s="53">
        <v>6</v>
      </c>
      <c r="C57" s="53">
        <v>8</v>
      </c>
      <c r="D57" s="53">
        <v>5</v>
      </c>
      <c r="E57" s="53">
        <v>19</v>
      </c>
    </row>
    <row r="58" spans="1:5" ht="12" customHeight="1" x14ac:dyDescent="0.3">
      <c r="A58" s="3" t="s">
        <v>446</v>
      </c>
      <c r="B58" s="53">
        <v>30</v>
      </c>
      <c r="C58" s="53">
        <v>34</v>
      </c>
      <c r="D58" s="53">
        <v>36</v>
      </c>
      <c r="E58" s="53">
        <v>100</v>
      </c>
    </row>
    <row r="59" spans="1:5" ht="12" customHeight="1" x14ac:dyDescent="0.3"/>
    <row r="60" spans="1:5" ht="12" customHeight="1" x14ac:dyDescent="0.3"/>
    <row r="61" spans="1:5" ht="12" customHeight="1" x14ac:dyDescent="0.3"/>
    <row r="62" spans="1:5" ht="12" customHeight="1" x14ac:dyDescent="0.3"/>
    <row r="63" spans="1:5" ht="12" customHeight="1" x14ac:dyDescent="0.3"/>
    <row r="64" spans="1:5" ht="12" customHeight="1" x14ac:dyDescent="0.3"/>
    <row r="65" ht="26.4" customHeight="1" x14ac:dyDescent="0.3"/>
    <row r="66" ht="26.4" customHeight="1" x14ac:dyDescent="0.3"/>
    <row r="67" ht="26.4" customHeight="1" x14ac:dyDescent="0.3"/>
    <row r="68" ht="26.4" customHeight="1" x14ac:dyDescent="0.3"/>
    <row r="69" ht="26.4" customHeight="1" x14ac:dyDescent="0.3"/>
    <row r="70" ht="26.4" customHeight="1" x14ac:dyDescent="0.3"/>
    <row r="71" ht="12" customHeight="1" x14ac:dyDescent="0.3"/>
    <row r="72" ht="12" customHeight="1" x14ac:dyDescent="0.3"/>
    <row r="73" ht="12" customHeight="1" x14ac:dyDescent="0.3"/>
    <row r="74" ht="12" customHeight="1" x14ac:dyDescent="0.3"/>
    <row r="75" ht="12" customHeight="1" x14ac:dyDescent="0.3"/>
    <row r="76" ht="12" customHeight="1" x14ac:dyDescent="0.3"/>
    <row r="77" ht="12" customHeight="1" x14ac:dyDescent="0.3"/>
    <row r="78" ht="12" customHeight="1" x14ac:dyDescent="0.3"/>
    <row r="79" ht="12" customHeight="1" x14ac:dyDescent="0.3"/>
    <row r="80" ht="12" customHeight="1" x14ac:dyDescent="0.3"/>
    <row r="81" ht="12" customHeight="1" x14ac:dyDescent="0.3"/>
    <row r="82" ht="12" customHeight="1" x14ac:dyDescent="0.3"/>
    <row r="83" ht="12" customHeight="1" x14ac:dyDescent="0.3"/>
    <row r="84" ht="12" customHeight="1" x14ac:dyDescent="0.3"/>
    <row r="85" ht="12" customHeight="1" x14ac:dyDescent="0.3"/>
    <row r="86" ht="12" customHeight="1" x14ac:dyDescent="0.3"/>
    <row r="87" ht="12" customHeight="1" x14ac:dyDescent="0.3"/>
    <row r="88" ht="12" customHeight="1" x14ac:dyDescent="0.3"/>
    <row r="89" ht="12" customHeight="1" x14ac:dyDescent="0.3"/>
    <row r="90" ht="12" customHeight="1" x14ac:dyDescent="0.3"/>
    <row r="91" ht="12" customHeight="1" x14ac:dyDescent="0.3"/>
    <row r="92" ht="12" customHeight="1" x14ac:dyDescent="0.3"/>
    <row r="93" ht="12" customHeight="1" x14ac:dyDescent="0.3"/>
  </sheetData>
  <mergeCells count="9">
    <mergeCell ref="C17:D17"/>
    <mergeCell ref="C16:D16"/>
    <mergeCell ref="C15:D15"/>
    <mergeCell ref="C14:D14"/>
    <mergeCell ref="A18:B18"/>
    <mergeCell ref="A16:B16"/>
    <mergeCell ref="A15:B15"/>
    <mergeCell ref="A14:B14"/>
    <mergeCell ref="A17:B17"/>
  </mergeCells>
  <conditionalFormatting sqref="A22:A24 A19">
    <cfRule type="dataBar" priority="19">
      <dataBar>
        <cfvo type="min"/>
        <cfvo type="max"/>
        <color rgb="FF63C384"/>
      </dataBar>
      <extLst>
        <ext xmlns:x14="http://schemas.microsoft.com/office/spreadsheetml/2009/9/main" uri="{B025F937-C7B1-47D3-B67F-A62EFF666E3E}">
          <x14:id>{D5B96BD2-EEBB-45BB-9C8C-8AFA32B7C934}</x14:id>
        </ext>
      </extLst>
    </cfRule>
  </conditionalFormatting>
  <conditionalFormatting pivot="1" sqref="B48:F48">
    <cfRule type="dataBar" priority="2">
      <dataBar>
        <cfvo type="min"/>
        <cfvo type="max"/>
        <color rgb="FF638EC6"/>
      </dataBar>
      <extLst>
        <ext xmlns:x14="http://schemas.microsoft.com/office/spreadsheetml/2009/9/main" uri="{B025F937-C7B1-47D3-B67F-A62EFF666E3E}">
          <x14:id>{1D48296A-79AE-447E-9EF1-3B034553DADB}</x14:id>
        </ext>
      </extLst>
    </cfRule>
  </conditionalFormatting>
  <pageMargins left="0.7" right="0.7" top="0.75" bottom="0.75" header="0.3" footer="0.3"/>
  <pageSetup paperSize="9" orientation="portrait" r:id="rId6"/>
  <extLst>
    <ext xmlns:x14="http://schemas.microsoft.com/office/spreadsheetml/2009/9/main" uri="{78C0D931-6437-407d-A8EE-F0AAD7539E65}">
      <x14:conditionalFormattings>
        <x14:conditionalFormatting xmlns:xm="http://schemas.microsoft.com/office/excel/2006/main">
          <x14:cfRule type="dataBar" id="{D5B96BD2-EEBB-45BB-9C8C-8AFA32B7C934}">
            <x14:dataBar minLength="0" maxLength="100" border="1" negativeBarBorderColorSameAsPositive="0">
              <x14:cfvo type="autoMin"/>
              <x14:cfvo type="autoMax"/>
              <x14:borderColor rgb="FF63C384"/>
              <x14:negativeFillColor rgb="FFFF0000"/>
              <x14:negativeBorderColor rgb="FFFF0000"/>
              <x14:axisColor rgb="FF000000"/>
            </x14:dataBar>
          </x14:cfRule>
          <xm:sqref>A22:A24 A19</xm:sqref>
        </x14:conditionalFormatting>
        <x14:conditionalFormatting xmlns:xm="http://schemas.microsoft.com/office/excel/2006/main" pivot="1">
          <x14:cfRule type="dataBar" id="{1D48296A-79AE-447E-9EF1-3B034553DADB}">
            <x14:dataBar minLength="0" maxLength="100" border="1" negativeBarBorderColorSameAsPositive="0">
              <x14:cfvo type="autoMin"/>
              <x14:cfvo type="autoMax"/>
              <x14:borderColor rgb="FF638EC6"/>
              <x14:negativeFillColor rgb="FFFF0000"/>
              <x14:negativeBorderColor rgb="FFFF0000"/>
              <x14:axisColor rgb="FF000000"/>
            </x14:dataBar>
          </x14:cfRule>
          <xm:sqref>B48:F48</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BAFEE-B245-4166-8ED4-ECFE354EF586}">
  <sheetPr>
    <pageSetUpPr fitToPage="1"/>
  </sheetPr>
  <dimension ref="A1:N62"/>
  <sheetViews>
    <sheetView showGridLines="0" tabSelected="1" topLeftCell="A19" zoomScale="59" zoomScaleNormal="60" workbookViewId="0">
      <selection activeCell="S52" sqref="S52"/>
    </sheetView>
  </sheetViews>
  <sheetFormatPr defaultRowHeight="14.4" x14ac:dyDescent="0.3"/>
  <cols>
    <col min="1" max="4" width="12.77734375" customWidth="1"/>
    <col min="5" max="5" width="16.33203125" bestFit="1" customWidth="1"/>
    <col min="6" max="6" width="13.33203125" bestFit="1" customWidth="1"/>
    <col min="7" max="11" width="15.77734375" customWidth="1"/>
    <col min="12" max="12" width="12.6640625" customWidth="1"/>
    <col min="13" max="13" width="26.33203125" customWidth="1"/>
    <col min="14" max="14" width="29" customWidth="1"/>
    <col min="15" max="15" width="6" bestFit="1" customWidth="1"/>
    <col min="16" max="16" width="9.109375" bestFit="1" customWidth="1"/>
    <col min="17" max="17" width="7.77734375" bestFit="1" customWidth="1"/>
    <col min="18" max="18" width="7.109375" bestFit="1" customWidth="1"/>
    <col min="19" max="19" width="7" bestFit="1" customWidth="1"/>
    <col min="20" max="20" width="6.77734375" bestFit="1" customWidth="1"/>
    <col min="21" max="21" width="7.88671875" bestFit="1" customWidth="1"/>
    <col min="22" max="22" width="11.44140625" bestFit="1" customWidth="1"/>
    <col min="23" max="23" width="10.6640625" bestFit="1" customWidth="1"/>
    <col min="24" max="24" width="6.77734375" bestFit="1" customWidth="1"/>
  </cols>
  <sheetData>
    <row r="1" spans="1:14" ht="15" customHeight="1" x14ac:dyDescent="0.3">
      <c r="A1" s="105" t="s">
        <v>462</v>
      </c>
      <c r="B1" s="105"/>
      <c r="C1" s="105"/>
      <c r="D1" s="105"/>
      <c r="E1" s="105"/>
      <c r="F1" s="105"/>
      <c r="G1" s="105"/>
      <c r="H1" s="105"/>
      <c r="I1" s="105"/>
      <c r="J1" s="105"/>
      <c r="K1" s="105"/>
      <c r="L1" s="105"/>
      <c r="M1" s="105"/>
      <c r="N1" s="105"/>
    </row>
    <row r="2" spans="1:14" ht="15" customHeight="1" x14ac:dyDescent="0.3">
      <c r="A2" s="105"/>
      <c r="B2" s="105"/>
      <c r="C2" s="105"/>
      <c r="D2" s="105"/>
      <c r="E2" s="105"/>
      <c r="F2" s="105"/>
      <c r="G2" s="105"/>
      <c r="H2" s="105"/>
      <c r="I2" s="105"/>
      <c r="J2" s="105"/>
      <c r="K2" s="105"/>
      <c r="L2" s="105"/>
      <c r="M2" s="105"/>
      <c r="N2" s="105"/>
    </row>
    <row r="3" spans="1:14" ht="15" customHeight="1" x14ac:dyDescent="0.3">
      <c r="A3" s="105"/>
      <c r="B3" s="105"/>
      <c r="C3" s="105"/>
      <c r="D3" s="105"/>
      <c r="E3" s="105"/>
      <c r="F3" s="105"/>
      <c r="G3" s="105"/>
      <c r="H3" s="105"/>
      <c r="I3" s="105"/>
      <c r="J3" s="105"/>
      <c r="K3" s="105"/>
      <c r="L3" s="105"/>
      <c r="M3" s="105"/>
      <c r="N3" s="105"/>
    </row>
    <row r="4" spans="1:14" ht="15" customHeight="1" x14ac:dyDescent="0.3">
      <c r="A4" s="106"/>
      <c r="B4" s="106"/>
      <c r="C4" s="106"/>
      <c r="D4" s="106"/>
      <c r="E4" s="106"/>
      <c r="F4" s="106"/>
      <c r="G4" s="106"/>
      <c r="H4" s="106"/>
      <c r="I4" s="106"/>
      <c r="J4" s="106"/>
      <c r="K4" s="106"/>
      <c r="L4" s="106"/>
      <c r="M4" s="106"/>
      <c r="N4" s="106"/>
    </row>
    <row r="5" spans="1:14" ht="14.4" customHeight="1" x14ac:dyDescent="0.3">
      <c r="A5" s="56"/>
      <c r="B5" s="56"/>
      <c r="C5" s="56"/>
      <c r="D5" s="56"/>
      <c r="E5" s="56"/>
      <c r="F5" s="56"/>
      <c r="G5" s="56"/>
      <c r="H5" s="56"/>
      <c r="I5" s="56"/>
      <c r="J5" s="56"/>
      <c r="K5" s="56"/>
      <c r="L5" s="93" t="s">
        <v>464</v>
      </c>
      <c r="M5" s="94"/>
      <c r="N5" s="99">
        <f>SUM(AmazonSales5[Total Amount])</f>
        <v>35258</v>
      </c>
    </row>
    <row r="6" spans="1:14" ht="14.4" customHeight="1" x14ac:dyDescent="0.3">
      <c r="A6" s="56"/>
      <c r="B6" s="56"/>
      <c r="C6" s="56"/>
      <c r="D6" s="56"/>
      <c r="E6" s="56"/>
      <c r="F6" s="56"/>
      <c r="G6" s="56"/>
      <c r="H6" s="56"/>
      <c r="I6" s="56"/>
      <c r="J6" s="56"/>
      <c r="K6" s="56"/>
      <c r="L6" s="95"/>
      <c r="M6" s="96"/>
      <c r="N6" s="100"/>
    </row>
    <row r="7" spans="1:14" ht="14.4" customHeight="1" x14ac:dyDescent="0.3">
      <c r="A7" s="56"/>
      <c r="B7" s="56"/>
      <c r="C7" s="56"/>
      <c r="D7" s="56"/>
      <c r="E7" s="56"/>
      <c r="F7" s="56"/>
      <c r="G7" s="56"/>
      <c r="H7" s="56"/>
      <c r="I7" s="56"/>
      <c r="J7" s="56"/>
      <c r="K7" s="56"/>
      <c r="L7" s="97"/>
      <c r="M7" s="98"/>
      <c r="N7" s="101"/>
    </row>
    <row r="8" spans="1:14" ht="14.4" customHeight="1" x14ac:dyDescent="0.3">
      <c r="A8" s="56"/>
      <c r="B8" s="56"/>
      <c r="C8" s="56"/>
      <c r="D8" s="56"/>
      <c r="E8" s="56"/>
      <c r="F8" s="56"/>
      <c r="G8" s="56"/>
      <c r="H8" s="56"/>
      <c r="I8" s="56"/>
      <c r="J8" s="56"/>
      <c r="K8" s="56"/>
      <c r="L8" s="61"/>
      <c r="M8" s="61"/>
      <c r="N8" s="62"/>
    </row>
    <row r="9" spans="1:14" ht="14.4" customHeight="1" x14ac:dyDescent="0.3">
      <c r="A9" s="56"/>
      <c r="B9" s="56"/>
      <c r="C9" s="56"/>
      <c r="D9" s="56"/>
      <c r="E9" s="56"/>
      <c r="F9" s="56"/>
      <c r="G9" s="56"/>
      <c r="H9" s="56"/>
      <c r="I9" s="56"/>
      <c r="J9" s="56"/>
      <c r="K9" s="56"/>
      <c r="L9" s="61"/>
      <c r="M9" s="61"/>
      <c r="N9" s="62"/>
    </row>
    <row r="10" spans="1:14" ht="14.4" customHeight="1" x14ac:dyDescent="0.3">
      <c r="A10" s="56"/>
      <c r="B10" s="56"/>
      <c r="C10" s="56"/>
      <c r="D10" s="56"/>
      <c r="E10" s="56"/>
      <c r="F10" s="56"/>
      <c r="G10" s="56"/>
      <c r="H10" s="56"/>
      <c r="I10" s="56"/>
      <c r="J10" s="56"/>
      <c r="K10" s="56"/>
      <c r="L10" s="61"/>
      <c r="M10" s="61"/>
      <c r="N10" s="62"/>
    </row>
    <row r="11" spans="1:14" ht="14.4" customHeight="1" x14ac:dyDescent="0.3">
      <c r="A11" s="56"/>
      <c r="B11" s="56"/>
      <c r="C11" s="56"/>
      <c r="D11" s="56"/>
      <c r="E11" s="56"/>
      <c r="F11" s="56"/>
      <c r="G11" s="56"/>
      <c r="H11" s="56"/>
      <c r="I11" s="56"/>
      <c r="J11" s="56"/>
      <c r="K11" s="56"/>
      <c r="L11" s="93" t="s">
        <v>465</v>
      </c>
      <c r="M11" s="94"/>
      <c r="N11" s="99">
        <f>COUNT(AmazonSales5[Total Amount])</f>
        <v>100</v>
      </c>
    </row>
    <row r="12" spans="1:14" ht="14.4" customHeight="1" x14ac:dyDescent="0.3">
      <c r="A12" s="56"/>
      <c r="B12" s="56"/>
      <c r="C12" s="56"/>
      <c r="D12" s="56"/>
      <c r="E12" s="56"/>
      <c r="F12" s="56"/>
      <c r="G12" s="56"/>
      <c r="H12" s="56"/>
      <c r="I12" s="56"/>
      <c r="J12" s="56"/>
      <c r="K12" s="56"/>
      <c r="L12" s="95"/>
      <c r="M12" s="96"/>
      <c r="N12" s="100"/>
    </row>
    <row r="13" spans="1:14" ht="14.4" customHeight="1" x14ac:dyDescent="0.3">
      <c r="A13" s="56"/>
      <c r="B13" s="56"/>
      <c r="C13" s="56"/>
      <c r="D13" s="56"/>
      <c r="E13" s="56"/>
      <c r="F13" s="56"/>
      <c r="G13" s="56"/>
      <c r="H13" s="56"/>
      <c r="I13" s="56"/>
      <c r="J13" s="56"/>
      <c r="K13" s="56"/>
      <c r="L13" s="97"/>
      <c r="M13" s="98"/>
      <c r="N13" s="101"/>
    </row>
    <row r="14" spans="1:14" ht="14.4" customHeight="1" x14ac:dyDescent="0.3">
      <c r="A14" s="56"/>
      <c r="B14" s="56"/>
      <c r="C14" s="56"/>
      <c r="D14" s="56"/>
      <c r="E14" s="56"/>
      <c r="F14" s="56"/>
      <c r="G14" s="56"/>
      <c r="H14" s="56"/>
      <c r="I14" s="56"/>
      <c r="J14" s="56"/>
      <c r="K14" s="56"/>
      <c r="L14" s="61"/>
      <c r="M14" s="61"/>
      <c r="N14" s="62"/>
    </row>
    <row r="15" spans="1:14" ht="14.4" customHeight="1" x14ac:dyDescent="0.3">
      <c r="A15" s="56"/>
      <c r="B15" s="56"/>
      <c r="C15" s="56"/>
      <c r="D15" s="56"/>
      <c r="E15" s="56"/>
      <c r="F15" s="56"/>
      <c r="G15" s="56"/>
      <c r="H15" s="56"/>
      <c r="I15" s="56"/>
      <c r="J15" s="56"/>
      <c r="K15" s="56"/>
      <c r="L15" s="61"/>
      <c r="M15" s="61"/>
      <c r="N15" s="62"/>
    </row>
    <row r="16" spans="1:14" ht="14.4" customHeight="1" x14ac:dyDescent="0.3">
      <c r="A16" s="56"/>
      <c r="B16" s="56"/>
      <c r="C16" s="56"/>
      <c r="D16" s="56"/>
      <c r="E16" s="56"/>
      <c r="F16" s="56"/>
      <c r="G16" s="56"/>
      <c r="H16" s="56"/>
      <c r="I16" s="56"/>
      <c r="J16" s="56"/>
      <c r="K16" s="56"/>
      <c r="L16" s="61"/>
      <c r="M16" s="61"/>
      <c r="N16" s="62"/>
    </row>
    <row r="17" spans="1:14" ht="14.4" customHeight="1" x14ac:dyDescent="0.3">
      <c r="A17" s="56"/>
      <c r="B17" s="56"/>
      <c r="C17" s="56"/>
      <c r="D17" s="56"/>
      <c r="E17" s="56"/>
      <c r="F17" s="56"/>
      <c r="G17" s="56"/>
      <c r="H17" s="56"/>
      <c r="I17" s="56"/>
      <c r="J17" s="56"/>
      <c r="K17" s="56"/>
      <c r="L17" s="93" t="s">
        <v>466</v>
      </c>
      <c r="M17" s="94"/>
      <c r="N17" s="99">
        <f>COUNTA(Product_table[Product Name])</f>
        <v>22</v>
      </c>
    </row>
    <row r="18" spans="1:14" ht="14.4" customHeight="1" x14ac:dyDescent="0.3">
      <c r="A18" s="56"/>
      <c r="B18" s="56"/>
      <c r="C18" s="56"/>
      <c r="D18" s="56"/>
      <c r="E18" s="56"/>
      <c r="F18" s="56"/>
      <c r="G18" s="56"/>
      <c r="H18" s="56"/>
      <c r="I18" s="56"/>
      <c r="J18" s="56"/>
      <c r="K18" s="56"/>
      <c r="L18" s="95"/>
      <c r="M18" s="96"/>
      <c r="N18" s="100"/>
    </row>
    <row r="19" spans="1:14" ht="14.4" customHeight="1" x14ac:dyDescent="0.3">
      <c r="A19" s="56"/>
      <c r="B19" s="56"/>
      <c r="C19" s="56"/>
      <c r="D19" s="56"/>
      <c r="E19" s="56"/>
      <c r="F19" s="56"/>
      <c r="G19" s="56"/>
      <c r="H19" s="56"/>
      <c r="I19" s="56"/>
      <c r="J19" s="56"/>
      <c r="K19" s="56"/>
      <c r="L19" s="97"/>
      <c r="M19" s="98"/>
      <c r="N19" s="101"/>
    </row>
    <row r="20" spans="1:14" ht="14.4" customHeight="1" x14ac:dyDescent="0.3">
      <c r="A20" s="56"/>
      <c r="B20" s="56"/>
      <c r="C20" s="56"/>
      <c r="D20" s="56"/>
      <c r="E20" s="56"/>
      <c r="F20" s="56"/>
      <c r="G20" s="56"/>
      <c r="H20" s="56"/>
      <c r="I20" s="56"/>
      <c r="J20" s="56"/>
      <c r="K20" s="56"/>
      <c r="L20" s="61"/>
      <c r="M20" s="61"/>
      <c r="N20" s="62"/>
    </row>
    <row r="21" spans="1:14" ht="14.4" customHeight="1" x14ac:dyDescent="0.3">
      <c r="A21" s="56"/>
      <c r="B21" s="56"/>
      <c r="C21" s="56"/>
      <c r="D21" s="56"/>
      <c r="E21" s="56"/>
      <c r="F21" s="56"/>
      <c r="G21" s="56"/>
      <c r="H21" s="56"/>
      <c r="I21" s="56"/>
      <c r="J21" s="56"/>
      <c r="K21" s="56"/>
      <c r="L21" s="61"/>
      <c r="M21" s="61"/>
      <c r="N21" s="62"/>
    </row>
    <row r="22" spans="1:14" ht="14.4" customHeight="1" x14ac:dyDescent="0.3">
      <c r="A22" s="56"/>
      <c r="B22" s="56"/>
      <c r="C22" s="56"/>
      <c r="D22" s="56"/>
      <c r="E22" s="56"/>
      <c r="F22" s="56"/>
      <c r="G22" s="56"/>
      <c r="H22" s="56"/>
      <c r="I22" s="56"/>
      <c r="J22" s="56"/>
      <c r="K22" s="56"/>
      <c r="L22" s="61"/>
      <c r="M22" s="61"/>
      <c r="N22" s="62"/>
    </row>
    <row r="23" spans="1:14" ht="18" customHeight="1" x14ac:dyDescent="0.3">
      <c r="A23" s="56"/>
      <c r="B23" s="56"/>
      <c r="C23" s="56"/>
      <c r="D23" s="56"/>
      <c r="E23" s="56"/>
      <c r="F23" s="56"/>
      <c r="G23" s="56"/>
      <c r="H23" s="56"/>
      <c r="I23" s="56"/>
      <c r="J23" s="56"/>
      <c r="K23" s="56"/>
      <c r="L23" s="82" t="s">
        <v>468</v>
      </c>
      <c r="M23" s="83"/>
      <c r="N23" s="99">
        <f>GETPIVOTDATA("Delivered Orders",Task4!$A$4)</f>
        <v>34</v>
      </c>
    </row>
    <row r="24" spans="1:14" ht="18" customHeight="1" x14ac:dyDescent="0.3">
      <c r="A24" s="56"/>
      <c r="B24" s="56"/>
      <c r="C24" s="56"/>
      <c r="D24" s="56"/>
      <c r="E24" s="56"/>
      <c r="F24" s="56"/>
      <c r="G24" s="56"/>
      <c r="H24" s="56"/>
      <c r="I24" s="56"/>
      <c r="J24" s="56"/>
      <c r="K24" s="56"/>
      <c r="L24" s="84"/>
      <c r="M24" s="85"/>
      <c r="N24" s="100"/>
    </row>
    <row r="25" spans="1:14" ht="18" customHeight="1" x14ac:dyDescent="0.3">
      <c r="A25" s="56"/>
      <c r="B25" s="56"/>
      <c r="C25" s="56"/>
      <c r="D25" s="56"/>
      <c r="E25" s="56"/>
      <c r="F25" s="56"/>
      <c r="G25" s="56"/>
      <c r="H25" s="56"/>
      <c r="I25" s="56"/>
      <c r="J25" s="56"/>
      <c r="K25" s="56"/>
      <c r="L25" s="86"/>
      <c r="M25" s="87"/>
      <c r="N25" s="101"/>
    </row>
    <row r="26" spans="1:14" ht="14.4" customHeight="1" x14ac:dyDescent="0.3">
      <c r="A26" s="56"/>
      <c r="B26" s="56"/>
      <c r="C26" s="56"/>
      <c r="D26" s="56"/>
      <c r="E26" s="56"/>
      <c r="F26" s="56"/>
      <c r="G26" s="56"/>
      <c r="H26" s="56"/>
      <c r="I26" s="56"/>
      <c r="J26" s="56"/>
      <c r="K26" s="56"/>
      <c r="L26" s="61"/>
      <c r="M26" s="61"/>
      <c r="N26" s="62"/>
    </row>
    <row r="27" spans="1:14" ht="14.4" customHeight="1" x14ac:dyDescent="0.3">
      <c r="A27" s="56"/>
      <c r="B27" s="56"/>
      <c r="C27" s="56"/>
      <c r="D27" s="56"/>
      <c r="E27" s="56"/>
      <c r="F27" s="56"/>
      <c r="G27" s="56"/>
      <c r="H27" s="56"/>
      <c r="I27" s="56"/>
      <c r="J27" s="56"/>
      <c r="K27" s="56"/>
      <c r="L27" s="61"/>
      <c r="M27" s="61"/>
      <c r="N27" s="62"/>
    </row>
    <row r="28" spans="1:14" ht="14.4" customHeight="1" x14ac:dyDescent="0.3">
      <c r="A28" s="56"/>
      <c r="B28" s="56"/>
      <c r="C28" s="56"/>
      <c r="D28" s="56"/>
      <c r="E28" s="56"/>
      <c r="F28" s="56"/>
      <c r="G28" s="56"/>
      <c r="H28" s="56"/>
      <c r="I28" s="56"/>
      <c r="J28" s="56"/>
      <c r="K28" s="56"/>
      <c r="L28" s="61"/>
      <c r="M28" s="61"/>
      <c r="N28" s="62"/>
    </row>
    <row r="29" spans="1:14" ht="14.4" customHeight="1" x14ac:dyDescent="0.3">
      <c r="A29" s="56"/>
      <c r="B29" s="56"/>
      <c r="C29" s="56"/>
      <c r="D29" s="56"/>
      <c r="E29" s="56"/>
      <c r="F29" s="56"/>
      <c r="G29" s="56"/>
      <c r="H29" s="56"/>
      <c r="I29" s="56"/>
      <c r="J29" s="56"/>
      <c r="K29" s="56"/>
      <c r="L29" s="93" t="s">
        <v>467</v>
      </c>
      <c r="M29" s="94"/>
      <c r="N29" s="102">
        <f>GETPIVOTDATA("Fast delivery %",Task4!$A$20)</f>
        <v>0.3235294117647059</v>
      </c>
    </row>
    <row r="30" spans="1:14" ht="14.4" customHeight="1" x14ac:dyDescent="0.3">
      <c r="A30" s="56"/>
      <c r="B30" s="56"/>
      <c r="C30" s="56"/>
      <c r="D30" s="56"/>
      <c r="E30" s="56"/>
      <c r="F30" s="56"/>
      <c r="G30" s="56"/>
      <c r="H30" s="56"/>
      <c r="I30" s="56"/>
      <c r="J30" s="56"/>
      <c r="K30" s="56"/>
      <c r="L30" s="95"/>
      <c r="M30" s="96"/>
      <c r="N30" s="103"/>
    </row>
    <row r="31" spans="1:14" ht="14.4" customHeight="1" x14ac:dyDescent="0.3">
      <c r="A31" s="56"/>
      <c r="B31" s="56"/>
      <c r="C31" s="56"/>
      <c r="D31" s="56"/>
      <c r="E31" s="56"/>
      <c r="F31" s="56"/>
      <c r="G31" s="56"/>
      <c r="H31" s="56"/>
      <c r="I31" s="56"/>
      <c r="J31" s="56"/>
      <c r="K31" s="56"/>
      <c r="L31" s="97"/>
      <c r="M31" s="98"/>
      <c r="N31" s="104"/>
    </row>
    <row r="32" spans="1:14" ht="14.4" customHeight="1" x14ac:dyDescent="0.3">
      <c r="A32" s="56"/>
      <c r="B32" s="56"/>
      <c r="C32" s="56"/>
      <c r="D32" s="56"/>
      <c r="E32" s="56"/>
      <c r="F32" s="56"/>
      <c r="G32" s="56"/>
      <c r="H32" s="56"/>
      <c r="I32" s="56"/>
      <c r="J32" s="56"/>
      <c r="K32" s="56"/>
      <c r="L32" s="61"/>
      <c r="M32" s="61"/>
      <c r="N32" s="62"/>
    </row>
    <row r="33" spans="1:14" ht="14.4" customHeight="1" x14ac:dyDescent="0.3">
      <c r="A33" s="56"/>
      <c r="B33" s="56"/>
      <c r="C33" s="56"/>
      <c r="D33" s="56"/>
      <c r="E33" s="56"/>
      <c r="F33" s="56"/>
      <c r="G33" s="56"/>
      <c r="H33" s="56"/>
      <c r="I33" s="56"/>
      <c r="J33" s="56"/>
      <c r="K33" s="56"/>
      <c r="L33" s="61"/>
      <c r="M33" s="61"/>
      <c r="N33" s="62"/>
    </row>
    <row r="34" spans="1:14" ht="14.4" customHeight="1" x14ac:dyDescent="0.3">
      <c r="A34" s="56"/>
      <c r="B34" s="56"/>
      <c r="C34" s="56"/>
      <c r="D34" s="56"/>
      <c r="E34" s="56"/>
      <c r="F34" s="56"/>
      <c r="G34" s="56"/>
      <c r="H34" s="56"/>
      <c r="I34" s="56"/>
      <c r="J34" s="56"/>
      <c r="K34" s="56"/>
      <c r="L34" s="61"/>
      <c r="M34" s="61"/>
      <c r="N34" s="62"/>
    </row>
    <row r="35" spans="1:14" ht="18" customHeight="1" x14ac:dyDescent="0.3">
      <c r="A35" s="56"/>
      <c r="B35" s="56"/>
      <c r="C35" s="56"/>
      <c r="D35" s="56"/>
      <c r="E35" s="56"/>
      <c r="F35" s="56"/>
      <c r="G35" s="56"/>
      <c r="H35" s="56"/>
      <c r="I35" s="56"/>
      <c r="J35" s="56"/>
      <c r="K35" s="56"/>
      <c r="L35" s="82" t="s">
        <v>504</v>
      </c>
      <c r="M35" s="83"/>
      <c r="N35" s="99">
        <f>GETPIVOTDATA("Order count",Task4!$A$51,"Delivery Status","Cancelled")</f>
        <v>30</v>
      </c>
    </row>
    <row r="36" spans="1:14" ht="18" customHeight="1" x14ac:dyDescent="0.3">
      <c r="A36" s="56"/>
      <c r="B36" s="56"/>
      <c r="C36" s="56"/>
      <c r="D36" s="56"/>
      <c r="E36" s="56"/>
      <c r="F36" s="56"/>
      <c r="G36" s="56"/>
      <c r="H36" s="56"/>
      <c r="I36" s="56"/>
      <c r="J36" s="56"/>
      <c r="K36" s="56"/>
      <c r="L36" s="84"/>
      <c r="M36" s="85"/>
      <c r="N36" s="100"/>
    </row>
    <row r="37" spans="1:14" ht="18" customHeight="1" x14ac:dyDescent="0.3">
      <c r="A37" s="56"/>
      <c r="B37" s="56"/>
      <c r="C37" s="56"/>
      <c r="D37" s="56"/>
      <c r="E37" s="56"/>
      <c r="F37" s="56"/>
      <c r="G37" s="56"/>
      <c r="H37" s="56"/>
      <c r="I37" s="56"/>
      <c r="J37" s="56"/>
      <c r="K37" s="56"/>
      <c r="L37" s="86"/>
      <c r="M37" s="87"/>
      <c r="N37" s="101"/>
    </row>
    <row r="38" spans="1:14" ht="14.4" customHeight="1" x14ac:dyDescent="0.3">
      <c r="A38" s="56"/>
      <c r="B38" s="56"/>
      <c r="C38" s="56"/>
      <c r="D38" s="56"/>
      <c r="E38" s="56"/>
      <c r="F38" s="56"/>
      <c r="G38" s="56"/>
      <c r="H38" s="56"/>
      <c r="I38" s="56"/>
      <c r="J38" s="56"/>
      <c r="K38" s="56"/>
      <c r="L38" s="61"/>
      <c r="M38" s="61"/>
      <c r="N38" s="62"/>
    </row>
    <row r="39" spans="1:14" ht="14.4" customHeight="1" x14ac:dyDescent="0.3">
      <c r="A39" s="56"/>
      <c r="B39" s="56"/>
      <c r="C39" s="56"/>
      <c r="D39" s="56"/>
      <c r="E39" s="56"/>
      <c r="F39" s="56"/>
      <c r="G39" s="56"/>
      <c r="H39" s="56"/>
      <c r="I39" s="56"/>
      <c r="J39" s="56"/>
      <c r="K39" s="56"/>
      <c r="L39" s="61"/>
      <c r="M39" s="61"/>
      <c r="N39" s="62"/>
    </row>
    <row r="40" spans="1:14" ht="14.4" customHeight="1" x14ac:dyDescent="0.3">
      <c r="A40" s="56"/>
      <c r="B40" s="56"/>
      <c r="C40" s="56"/>
      <c r="D40" s="56"/>
      <c r="E40" s="56"/>
      <c r="F40" s="56"/>
      <c r="G40" s="56"/>
      <c r="H40" s="56"/>
      <c r="I40" s="56"/>
      <c r="J40" s="56"/>
      <c r="K40" s="56"/>
      <c r="L40" s="56"/>
      <c r="M40" s="63"/>
      <c r="N40" s="64"/>
    </row>
    <row r="41" spans="1:14" ht="18" customHeight="1" x14ac:dyDescent="0.3">
      <c r="A41" s="56"/>
      <c r="B41" s="56"/>
      <c r="C41" s="56"/>
      <c r="D41" s="56"/>
      <c r="E41" s="56"/>
      <c r="F41" s="56"/>
      <c r="G41" s="56"/>
      <c r="H41" s="56"/>
      <c r="I41" s="56"/>
      <c r="J41" s="56"/>
      <c r="K41" s="56"/>
      <c r="L41" s="82" t="s">
        <v>469</v>
      </c>
      <c r="M41" s="83"/>
      <c r="N41" s="88" t="str">
        <f>Task4!I16</f>
        <v>Smartphone</v>
      </c>
    </row>
    <row r="42" spans="1:14" ht="18" customHeight="1" x14ac:dyDescent="0.3">
      <c r="A42" s="56"/>
      <c r="B42" s="56"/>
      <c r="C42" s="56"/>
      <c r="D42" s="56"/>
      <c r="E42" s="56"/>
      <c r="F42" s="56"/>
      <c r="G42" s="56"/>
      <c r="H42" s="56"/>
      <c r="I42" s="56"/>
      <c r="J42" s="56"/>
      <c r="K42" s="56"/>
      <c r="L42" s="84"/>
      <c r="M42" s="85"/>
      <c r="N42" s="89"/>
    </row>
    <row r="43" spans="1:14" ht="18" customHeight="1" x14ac:dyDescent="0.3">
      <c r="A43" s="56"/>
      <c r="B43" s="56"/>
      <c r="C43" s="56"/>
      <c r="D43" s="56"/>
      <c r="E43" s="56"/>
      <c r="F43" s="56"/>
      <c r="G43" s="56"/>
      <c r="H43" s="56"/>
      <c r="I43" s="56"/>
      <c r="J43" s="56"/>
      <c r="K43" s="56"/>
      <c r="L43" s="86"/>
      <c r="M43" s="87"/>
      <c r="N43" s="90"/>
    </row>
    <row r="44" spans="1:14" x14ac:dyDescent="0.3">
      <c r="A44" s="56"/>
      <c r="B44" s="56"/>
      <c r="C44" s="56"/>
      <c r="D44" s="56"/>
      <c r="E44" s="56"/>
      <c r="F44" s="56"/>
      <c r="G44" s="56"/>
      <c r="H44" s="56"/>
      <c r="I44" s="56"/>
      <c r="J44" s="56"/>
      <c r="K44" s="56"/>
      <c r="L44" s="56"/>
      <c r="M44" s="56"/>
      <c r="N44" s="56"/>
    </row>
    <row r="45" spans="1:14" s="75" customFormat="1" ht="25.05" customHeight="1" x14ac:dyDescent="0.3">
      <c r="A45" s="74"/>
      <c r="B45" s="74"/>
      <c r="C45" s="74"/>
      <c r="D45" s="74"/>
      <c r="E45" s="74"/>
      <c r="F45" s="74"/>
      <c r="G45" s="74"/>
      <c r="H45" s="74"/>
      <c r="I45" s="74"/>
      <c r="J45" s="74"/>
      <c r="K45" s="74"/>
      <c r="L45" s="91" t="s">
        <v>506</v>
      </c>
      <c r="M45" s="91"/>
      <c r="N45" s="91"/>
    </row>
    <row r="46" spans="1:14" s="75" customFormat="1" ht="25.05" customHeight="1" x14ac:dyDescent="0.3">
      <c r="A46" s="74"/>
      <c r="B46" s="74"/>
      <c r="C46" s="74"/>
      <c r="D46" s="74"/>
      <c r="E46" s="74"/>
      <c r="F46" s="74"/>
      <c r="G46" s="74"/>
      <c r="H46" s="74"/>
      <c r="I46" s="74"/>
      <c r="J46" s="74"/>
      <c r="K46" s="74"/>
      <c r="L46" s="92"/>
      <c r="M46" s="92"/>
      <c r="N46" s="92"/>
    </row>
    <row r="47" spans="1:14" x14ac:dyDescent="0.3">
      <c r="A47" s="56"/>
      <c r="B47" s="56"/>
      <c r="C47" s="56"/>
      <c r="D47" s="56"/>
      <c r="E47" s="56"/>
      <c r="F47" s="56"/>
      <c r="G47" s="56"/>
      <c r="H47" s="56"/>
      <c r="I47" s="56"/>
      <c r="J47" s="56"/>
      <c r="K47" s="56"/>
      <c r="L47" s="82" t="s">
        <v>505</v>
      </c>
      <c r="M47" s="83"/>
      <c r="N47" s="88" t="s">
        <v>62</v>
      </c>
    </row>
    <row r="48" spans="1:14" x14ac:dyDescent="0.3">
      <c r="A48" s="56"/>
      <c r="B48" s="56"/>
      <c r="C48" s="56"/>
      <c r="D48" s="56"/>
      <c r="E48" s="56"/>
      <c r="F48" s="56"/>
      <c r="G48" s="56"/>
      <c r="H48" s="56"/>
      <c r="I48" s="56"/>
      <c r="J48" s="56"/>
      <c r="K48" s="56"/>
      <c r="L48" s="84"/>
      <c r="M48" s="85"/>
      <c r="N48" s="89"/>
    </row>
    <row r="49" spans="1:14" x14ac:dyDescent="0.3">
      <c r="A49" s="56"/>
      <c r="B49" s="56"/>
      <c r="C49" s="56"/>
      <c r="D49" s="56"/>
      <c r="E49" s="56"/>
      <c r="F49" s="56"/>
      <c r="G49" s="56"/>
      <c r="H49" s="56"/>
      <c r="I49" s="56"/>
      <c r="J49" s="56"/>
      <c r="K49" s="56"/>
      <c r="L49" s="86"/>
      <c r="M49" s="87"/>
      <c r="N49" s="90"/>
    </row>
    <row r="50" spans="1:14" ht="18.600000000000001" customHeight="1" x14ac:dyDescent="0.3">
      <c r="A50" s="56"/>
      <c r="B50" s="56"/>
      <c r="C50" s="56"/>
      <c r="D50" s="56"/>
      <c r="E50" s="56"/>
      <c r="F50" s="56"/>
      <c r="G50" s="56"/>
      <c r="H50" s="56"/>
      <c r="I50" s="56"/>
      <c r="J50" s="56"/>
      <c r="K50" s="56"/>
      <c r="L50" s="82" t="s">
        <v>502</v>
      </c>
      <c r="M50" s="83"/>
      <c r="N50" s="88" t="str">
        <f>_xlfn.XLOOKUP(N47,Task1!B2:B101,Task1!I2:I101)</f>
        <v>Shoes</v>
      </c>
    </row>
    <row r="51" spans="1:14" ht="18.600000000000001" customHeight="1" x14ac:dyDescent="0.3">
      <c r="A51" s="56"/>
      <c r="B51" s="56"/>
      <c r="C51" s="56"/>
      <c r="D51" s="56"/>
      <c r="E51" s="56"/>
      <c r="F51" s="56"/>
      <c r="G51" s="56"/>
      <c r="H51" s="56"/>
      <c r="I51" s="56"/>
      <c r="J51" s="56"/>
      <c r="K51" s="56"/>
      <c r="L51" s="84"/>
      <c r="M51" s="85"/>
      <c r="N51" s="89"/>
    </row>
    <row r="52" spans="1:14" ht="18.600000000000001" customHeight="1" x14ac:dyDescent="0.3">
      <c r="A52" s="56"/>
      <c r="B52" s="56"/>
      <c r="C52" s="56"/>
      <c r="D52" s="56"/>
      <c r="E52" s="56"/>
      <c r="F52" s="56"/>
      <c r="G52" s="56"/>
      <c r="H52" s="56"/>
      <c r="I52" s="56"/>
      <c r="J52" s="56"/>
      <c r="K52" s="56"/>
      <c r="L52" s="86"/>
      <c r="M52" s="87"/>
      <c r="N52" s="90"/>
    </row>
    <row r="53" spans="1:14" ht="14.4" customHeight="1" x14ac:dyDescent="0.3">
      <c r="A53" s="56"/>
      <c r="B53" s="56"/>
      <c r="C53" s="56"/>
      <c r="D53" s="56"/>
      <c r="E53" s="56"/>
      <c r="F53" s="56"/>
      <c r="G53" s="56"/>
      <c r="H53" s="56"/>
      <c r="I53" s="56"/>
      <c r="J53" s="56"/>
      <c r="K53" s="56"/>
      <c r="L53" s="82" t="s">
        <v>501</v>
      </c>
      <c r="M53" s="83"/>
      <c r="N53" s="88" t="str">
        <f>_xlfn.XLOOKUP(N47,Task1!B2:B101,Task1!O2:O101)</f>
        <v>Cancelled</v>
      </c>
    </row>
    <row r="54" spans="1:14" ht="14.4" customHeight="1" x14ac:dyDescent="0.3">
      <c r="A54" s="56"/>
      <c r="B54" s="56"/>
      <c r="C54" s="56"/>
      <c r="D54" s="56"/>
      <c r="E54" s="56"/>
      <c r="F54" s="56"/>
      <c r="G54" s="56"/>
      <c r="H54" s="56"/>
      <c r="I54" s="56"/>
      <c r="J54" s="56"/>
      <c r="K54" s="56"/>
      <c r="L54" s="84"/>
      <c r="M54" s="85"/>
      <c r="N54" s="89"/>
    </row>
    <row r="55" spans="1:14" ht="14.4" customHeight="1" x14ac:dyDescent="0.3">
      <c r="A55" s="56"/>
      <c r="B55" s="56"/>
      <c r="C55" s="56"/>
      <c r="D55" s="56"/>
      <c r="E55" s="56"/>
      <c r="F55" s="56"/>
      <c r="G55" s="56"/>
      <c r="H55" s="56"/>
      <c r="I55" s="56"/>
      <c r="J55" s="56"/>
      <c r="K55" s="56"/>
      <c r="L55" s="86"/>
      <c r="M55" s="87"/>
      <c r="N55" s="90"/>
    </row>
    <row r="56" spans="1:14" x14ac:dyDescent="0.3">
      <c r="A56" s="56"/>
      <c r="B56" s="56"/>
      <c r="C56" s="56"/>
      <c r="D56" s="56"/>
      <c r="E56" s="56"/>
      <c r="F56" s="56"/>
      <c r="G56" s="56"/>
      <c r="H56" s="56"/>
      <c r="I56" s="56"/>
      <c r="J56" s="56"/>
      <c r="K56" s="56"/>
      <c r="L56" s="82" t="s">
        <v>503</v>
      </c>
      <c r="M56" s="83"/>
      <c r="N56" s="88" t="str">
        <f>_xlfn.XLOOKUP(N47,Task1!B2:B101,Task1!N2:N101)</f>
        <v>Apple Pay</v>
      </c>
    </row>
    <row r="57" spans="1:14" x14ac:dyDescent="0.3">
      <c r="A57" s="56"/>
      <c r="B57" s="56"/>
      <c r="C57" s="56"/>
      <c r="D57" s="56"/>
      <c r="E57" s="56"/>
      <c r="F57" s="56"/>
      <c r="G57" s="56"/>
      <c r="H57" s="56"/>
      <c r="I57" s="56"/>
      <c r="J57" s="56"/>
      <c r="K57" s="56"/>
      <c r="L57" s="84"/>
      <c r="M57" s="85"/>
      <c r="N57" s="89"/>
    </row>
    <row r="58" spans="1:14" x14ac:dyDescent="0.3">
      <c r="A58" s="56"/>
      <c r="B58" s="56"/>
      <c r="C58" s="56"/>
      <c r="D58" s="56"/>
      <c r="E58" s="56"/>
      <c r="F58" s="56"/>
      <c r="G58" s="56"/>
      <c r="H58" s="56"/>
      <c r="I58" s="56"/>
      <c r="J58" s="56"/>
      <c r="K58" s="56"/>
      <c r="L58" s="86"/>
      <c r="M58" s="87"/>
      <c r="N58" s="90"/>
    </row>
    <row r="62" spans="1:14" ht="33.6" x14ac:dyDescent="0.3">
      <c r="H62" s="60"/>
      <c r="I62" s="60"/>
      <c r="J62" s="60"/>
    </row>
  </sheetData>
  <mergeCells count="24">
    <mergeCell ref="N5:N7"/>
    <mergeCell ref="N11:N13"/>
    <mergeCell ref="N17:N19"/>
    <mergeCell ref="A1:N4"/>
    <mergeCell ref="L5:M7"/>
    <mergeCell ref="L11:M13"/>
    <mergeCell ref="L17:M19"/>
    <mergeCell ref="L23:M25"/>
    <mergeCell ref="L29:M31"/>
    <mergeCell ref="N23:N25"/>
    <mergeCell ref="N29:N31"/>
    <mergeCell ref="L35:M37"/>
    <mergeCell ref="N35:N37"/>
    <mergeCell ref="L53:M55"/>
    <mergeCell ref="N50:N52"/>
    <mergeCell ref="L56:M58"/>
    <mergeCell ref="N56:N58"/>
    <mergeCell ref="L41:M43"/>
    <mergeCell ref="N41:N43"/>
    <mergeCell ref="L47:M49"/>
    <mergeCell ref="N47:N49"/>
    <mergeCell ref="L50:M52"/>
    <mergeCell ref="N53:N55"/>
    <mergeCell ref="L45:N46"/>
  </mergeCells>
  <pageMargins left="0.59055118110236215" right="0.39370078740157483" top="0.98425196850393704" bottom="0.98425196850393704" header="0.51181102362204722" footer="0.51181102362204722"/>
  <pageSetup paperSize="9" scale="47"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F6BFE1CB-5025-4C26-850B-3605DC0BC59C}">
          <x14:formula1>
            <xm:f>Task1!$B$2:$B$101</xm:f>
          </x14:formula1>
          <xm:sqref>N47:N49</xm:sqref>
        </x14:dataValidation>
      </x14:dataValidations>
    </ex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70933-A437-415A-A228-93FFFCD18499}">
  <dimension ref="A1:R13"/>
  <sheetViews>
    <sheetView workbookViewId="0">
      <selection activeCell="A14" sqref="A14"/>
    </sheetView>
  </sheetViews>
  <sheetFormatPr defaultRowHeight="14.4" x14ac:dyDescent="0.3"/>
  <cols>
    <col min="8" max="8" width="20.6640625" customWidth="1"/>
  </cols>
  <sheetData>
    <row r="1" spans="1:18" ht="15" customHeight="1" x14ac:dyDescent="0.3"/>
    <row r="2" spans="1:18" ht="15" customHeight="1" x14ac:dyDescent="0.3">
      <c r="A2" s="77" t="s">
        <v>511</v>
      </c>
      <c r="B2" s="77"/>
      <c r="C2" s="77"/>
      <c r="D2" s="77"/>
      <c r="E2" s="77"/>
      <c r="F2" s="77"/>
      <c r="G2" s="77"/>
      <c r="H2" s="80" t="s">
        <v>328</v>
      </c>
      <c r="I2" s="78"/>
      <c r="J2" s="79"/>
      <c r="K2" s="79"/>
      <c r="L2" s="79"/>
      <c r="M2" s="79"/>
      <c r="N2" s="79"/>
      <c r="O2" s="79"/>
      <c r="P2" s="79"/>
      <c r="Q2" s="79"/>
      <c r="R2" s="79"/>
    </row>
    <row r="3" spans="1:18" ht="15" customHeight="1" x14ac:dyDescent="0.3">
      <c r="A3" s="77" t="s">
        <v>510</v>
      </c>
      <c r="B3" s="77"/>
      <c r="C3" s="77"/>
      <c r="D3" s="77"/>
      <c r="E3" s="77"/>
      <c r="F3" s="77"/>
      <c r="G3" s="77"/>
      <c r="H3" s="80" t="s">
        <v>16</v>
      </c>
      <c r="I3" s="78"/>
      <c r="J3" s="79"/>
      <c r="K3" s="79"/>
      <c r="L3" s="79"/>
      <c r="M3" s="79"/>
      <c r="N3" s="79"/>
      <c r="O3" s="79"/>
      <c r="P3" s="79"/>
      <c r="Q3" s="79"/>
      <c r="R3" s="79"/>
    </row>
    <row r="4" spans="1:18" ht="15" customHeight="1" x14ac:dyDescent="0.3">
      <c r="A4" s="77" t="s">
        <v>509</v>
      </c>
      <c r="B4" s="77"/>
      <c r="C4" s="77"/>
      <c r="D4" s="77"/>
      <c r="E4" s="77"/>
      <c r="F4" s="77"/>
      <c r="G4" s="77"/>
      <c r="H4" s="80" t="s">
        <v>512</v>
      </c>
      <c r="I4" s="78"/>
      <c r="J4" s="79"/>
      <c r="K4" s="79"/>
      <c r="L4" s="79"/>
      <c r="M4" s="79"/>
      <c r="N4" s="79"/>
      <c r="O4" s="79"/>
      <c r="P4" s="79"/>
      <c r="Q4" s="79"/>
      <c r="R4" s="79"/>
    </row>
    <row r="5" spans="1:18" ht="15" customHeight="1" x14ac:dyDescent="0.3">
      <c r="A5" s="77" t="s">
        <v>508</v>
      </c>
      <c r="B5" s="77"/>
      <c r="C5" s="77"/>
      <c r="D5" s="77"/>
      <c r="E5" s="77"/>
      <c r="F5" s="77"/>
      <c r="G5" s="77"/>
    </row>
    <row r="6" spans="1:18" ht="15" customHeight="1" x14ac:dyDescent="0.3">
      <c r="A6" s="112" t="s">
        <v>513</v>
      </c>
      <c r="B6" s="112"/>
      <c r="C6" s="112"/>
      <c r="D6" s="112"/>
      <c r="E6" s="112"/>
      <c r="F6" s="112"/>
      <c r="G6" s="112"/>
      <c r="H6" s="112"/>
      <c r="I6" s="112"/>
      <c r="J6" s="112"/>
      <c r="K6" s="112"/>
    </row>
    <row r="7" spans="1:18" ht="15" customHeight="1" x14ac:dyDescent="0.3">
      <c r="A7" s="112"/>
      <c r="B7" s="112"/>
      <c r="C7" s="112"/>
      <c r="D7" s="112"/>
      <c r="E7" s="112"/>
      <c r="F7" s="112"/>
      <c r="G7" s="112"/>
      <c r="H7" s="112"/>
      <c r="I7" s="112"/>
      <c r="J7" s="112"/>
      <c r="K7" s="112"/>
    </row>
    <row r="8" spans="1:18" ht="15" customHeight="1" x14ac:dyDescent="0.3">
      <c r="A8" s="112"/>
      <c r="B8" s="112"/>
      <c r="C8" s="112"/>
      <c r="D8" s="112"/>
      <c r="E8" s="112"/>
      <c r="F8" s="112"/>
      <c r="G8" s="112"/>
      <c r="H8" s="112"/>
      <c r="I8" s="112"/>
      <c r="J8" s="112"/>
      <c r="K8" s="112"/>
    </row>
    <row r="9" spans="1:18" ht="15" customHeight="1" x14ac:dyDescent="0.3">
      <c r="A9" s="81"/>
      <c r="B9" s="81"/>
      <c r="C9" s="81"/>
      <c r="D9" s="81"/>
      <c r="E9" s="81"/>
      <c r="F9" s="81"/>
      <c r="G9" s="81"/>
      <c r="H9" s="81"/>
      <c r="I9" s="81"/>
      <c r="J9" s="81"/>
      <c r="K9" s="81"/>
    </row>
    <row r="10" spans="1:18" ht="15" customHeight="1" x14ac:dyDescent="0.3">
      <c r="A10" s="77" t="s">
        <v>507</v>
      </c>
      <c r="B10" s="77"/>
      <c r="C10" s="77"/>
      <c r="D10" s="77"/>
      <c r="E10" s="77"/>
      <c r="F10" s="77"/>
      <c r="G10" s="77"/>
      <c r="H10" s="77"/>
      <c r="I10" s="77"/>
    </row>
    <row r="11" spans="1:18" ht="14.4" customHeight="1" x14ac:dyDescent="0.3">
      <c r="A11" s="112" t="s">
        <v>514</v>
      </c>
      <c r="B11" s="112"/>
      <c r="C11" s="112"/>
      <c r="D11" s="112"/>
      <c r="E11" s="112"/>
      <c r="F11" s="112"/>
      <c r="G11" s="112"/>
      <c r="H11" s="112"/>
      <c r="I11" s="112"/>
      <c r="J11" s="112"/>
      <c r="K11" s="112"/>
    </row>
    <row r="12" spans="1:18" x14ac:dyDescent="0.3">
      <c r="A12" s="112"/>
      <c r="B12" s="112"/>
      <c r="C12" s="112"/>
      <c r="D12" s="112"/>
      <c r="E12" s="112"/>
      <c r="F12" s="112"/>
      <c r="G12" s="112"/>
      <c r="H12" s="112"/>
      <c r="I12" s="112"/>
      <c r="J12" s="112"/>
      <c r="K12" s="112"/>
    </row>
    <row r="13" spans="1:18" x14ac:dyDescent="0.3">
      <c r="A13" s="112"/>
      <c r="B13" s="112"/>
      <c r="C13" s="112"/>
      <c r="D13" s="112"/>
      <c r="E13" s="112"/>
      <c r="F13" s="112"/>
      <c r="G13" s="112"/>
      <c r="H13" s="112"/>
      <c r="I13" s="112"/>
      <c r="J13" s="112"/>
      <c r="K13" s="112"/>
    </row>
  </sheetData>
  <mergeCells count="2">
    <mergeCell ref="A6:K8"/>
    <mergeCell ref="A11:K1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015F9ED-77CA-41F7-8488-562A3A59FD2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AmazonSales</vt:lpstr>
      <vt:lpstr>ProductMaster</vt:lpstr>
      <vt:lpstr>RegionGoals</vt:lpstr>
      <vt:lpstr>CustomerMaster</vt:lpstr>
      <vt:lpstr>Task1</vt:lpstr>
      <vt:lpstr>Task2</vt:lpstr>
      <vt:lpstr>Task3</vt:lpstr>
      <vt:lpstr>Task4</vt:lpstr>
      <vt:lpstr>Dashboard</vt:lpstr>
      <vt:lpstr>Brainstorm</vt:lpstr>
      <vt:lpstr>Task2!_3t21pjvpxv31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Koonhi Hazarika</dc:creator>
  <cp:lastModifiedBy>Koonhi Hazarika</cp:lastModifiedBy>
  <cp:lastPrinted>2025-12-23T17:57:20Z</cp:lastPrinted>
  <dcterms:created xsi:type="dcterms:W3CDTF">2025-12-18T16:25:12Z</dcterms:created>
  <dcterms:modified xsi:type="dcterms:W3CDTF">2026-04-14T11:51:38Z</dcterms:modified>
</cp:coreProperties>
</file>